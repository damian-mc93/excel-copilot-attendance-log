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damian/Desktop/Excel Projects/"/>
    </mc:Choice>
  </mc:AlternateContent>
  <xr:revisionPtr revIDLastSave="0" documentId="8_{42F8E92C-9C37-9D42-8BC6-3B2824DCB885}" xr6:coauthVersionLast="47" xr6:coauthVersionMax="47" xr10:uidLastSave="{00000000-0000-0000-0000-000000000000}"/>
  <bookViews>
    <workbookView xWindow="0" yWindow="500" windowWidth="28800" windowHeight="15300" xr2:uid="{C172C3D3-9E9B-8D41-B186-3418E48FA629}"/>
  </bookViews>
  <sheets>
    <sheet name="Attendance Tracker" sheetId="1" r:id="rId1"/>
    <sheet name="Contact" sheetId="2" r:id="rId2"/>
    <sheet name="Department" sheetId="3" r:id="rId3"/>
    <sheet name="Attendance Lo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F4" i="1"/>
  <c r="G4" i="1" s="1"/>
  <c r="H4" i="1" s="1" a="1"/>
  <c r="H4" i="1" s="1"/>
  <c r="F5" i="1"/>
  <c r="G5" i="1" s="1"/>
  <c r="H5" i="1" s="1" a="1"/>
  <c r="H5" i="1" s="1"/>
  <c r="F6" i="1"/>
  <c r="F7" i="1"/>
  <c r="F8" i="1"/>
  <c r="F9" i="1"/>
  <c r="G9" i="1" s="1"/>
  <c r="H9" i="1" s="1" a="1"/>
  <c r="H9" i="1" s="1"/>
  <c r="F10" i="1"/>
  <c r="G10" i="1" s="1"/>
  <c r="H10" i="1" s="1" a="1"/>
  <c r="H10" i="1" s="1"/>
  <c r="F11" i="1"/>
  <c r="G11" i="1" s="1"/>
  <c r="H11" i="1" s="1" a="1"/>
  <c r="H11" i="1" s="1"/>
  <c r="F12" i="1"/>
  <c r="G12" i="1" s="1"/>
  <c r="H12" i="1" s="1" a="1"/>
  <c r="H12" i="1" s="1"/>
  <c r="F13" i="1"/>
  <c r="G13" i="1" s="1"/>
  <c r="H13" i="1" s="1" a="1"/>
  <c r="H13" i="1" s="1"/>
  <c r="F14" i="1"/>
  <c r="F15" i="1"/>
  <c r="F16" i="1"/>
  <c r="F17" i="1"/>
  <c r="G17" i="1" s="1"/>
  <c r="H17" i="1" s="1" a="1"/>
  <c r="H17" i="1" s="1"/>
  <c r="F18" i="1"/>
  <c r="G18" i="1" s="1"/>
  <c r="H18" i="1" s="1" a="1"/>
  <c r="H18" i="1" s="1"/>
  <c r="F19" i="1"/>
  <c r="G19" i="1" s="1"/>
  <c r="H19" i="1" s="1" a="1"/>
  <c r="H19" i="1" s="1"/>
  <c r="F20" i="1"/>
  <c r="G20" i="1" s="1"/>
  <c r="H20" i="1" s="1" a="1"/>
  <c r="H20" i="1" s="1"/>
  <c r="F21" i="1"/>
  <c r="G21" i="1" s="1"/>
  <c r="H21" i="1" s="1" a="1"/>
  <c r="H21" i="1" s="1"/>
  <c r="F22" i="1"/>
  <c r="F23" i="1"/>
  <c r="F24" i="1"/>
  <c r="F25" i="1"/>
  <c r="G25" i="1" s="1"/>
  <c r="H25" i="1" s="1" a="1"/>
  <c r="H25" i="1" s="1"/>
  <c r="F26" i="1"/>
  <c r="G26" i="1" s="1"/>
  <c r="H26" i="1" s="1" a="1"/>
  <c r="H26" i="1" s="1"/>
  <c r="F27" i="1"/>
  <c r="G27" i="1" s="1"/>
  <c r="H27" i="1" s="1" a="1"/>
  <c r="H27" i="1" s="1"/>
  <c r="F28" i="1"/>
  <c r="G28" i="1" s="1"/>
  <c r="H28" i="1" s="1" a="1"/>
  <c r="H28" i="1" s="1"/>
  <c r="F29" i="1"/>
  <c r="G29" i="1" s="1"/>
  <c r="H29" i="1" s="1" a="1"/>
  <c r="H29" i="1" s="1"/>
  <c r="F30" i="1"/>
  <c r="F31" i="1"/>
  <c r="F32" i="1"/>
  <c r="F33" i="1"/>
  <c r="G33" i="1" s="1"/>
  <c r="H33" i="1" s="1" a="1"/>
  <c r="H33" i="1" s="1"/>
  <c r="F34" i="1"/>
  <c r="G34" i="1" s="1"/>
  <c r="H34" i="1" s="1" a="1"/>
  <c r="H34" i="1" s="1"/>
  <c r="F35" i="1"/>
  <c r="G35" i="1" s="1"/>
  <c r="H35" i="1" s="1" a="1"/>
  <c r="H35" i="1" s="1"/>
  <c r="F36" i="1"/>
  <c r="G36" i="1" s="1"/>
  <c r="H36" i="1" s="1" a="1"/>
  <c r="H36" i="1" s="1"/>
  <c r="F37" i="1"/>
  <c r="G37" i="1" s="1"/>
  <c r="H37" i="1" s="1" a="1"/>
  <c r="H37" i="1" s="1"/>
  <c r="F38" i="1"/>
  <c r="F39" i="1"/>
  <c r="F40" i="1"/>
  <c r="F41" i="1"/>
  <c r="G41" i="1" s="1"/>
  <c r="H41" i="1" s="1" a="1"/>
  <c r="H41" i="1" s="1"/>
  <c r="F42" i="1"/>
  <c r="G42" i="1" s="1"/>
  <c r="H42" i="1" s="1" a="1"/>
  <c r="H42" i="1" s="1"/>
  <c r="F43" i="1"/>
  <c r="G43" i="1" s="1"/>
  <c r="H43" i="1" s="1" a="1"/>
  <c r="H43" i="1" s="1"/>
  <c r="F44" i="1"/>
  <c r="G44" i="1" s="1"/>
  <c r="H44" i="1" s="1" a="1"/>
  <c r="H44" i="1" s="1"/>
  <c r="F45" i="1"/>
  <c r="G45" i="1" s="1"/>
  <c r="H45" i="1" s="1" a="1"/>
  <c r="H45" i="1" s="1"/>
  <c r="F46" i="1"/>
  <c r="F47" i="1"/>
  <c r="F48" i="1"/>
  <c r="F49" i="1"/>
  <c r="G49" i="1" s="1"/>
  <c r="H49" i="1" s="1" a="1"/>
  <c r="H49" i="1" s="1"/>
  <c r="F50" i="1"/>
  <c r="G50" i="1" s="1"/>
  <c r="H50" i="1" s="1" a="1"/>
  <c r="H50" i="1" s="1"/>
  <c r="F51" i="1"/>
  <c r="G51" i="1" s="1"/>
  <c r="H51" i="1" s="1" a="1"/>
  <c r="H51" i="1" s="1"/>
  <c r="F52" i="1"/>
  <c r="G52" i="1" s="1"/>
  <c r="H52" i="1" s="1" a="1"/>
  <c r="H52" i="1" s="1"/>
  <c r="F3" i="1"/>
  <c r="G3" i="1" s="1"/>
  <c r="H3" i="1" s="1" a="1"/>
  <c r="H3" i="1" s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3" i="1"/>
  <c r="G48" i="1" l="1"/>
  <c r="H48" i="1" s="1" a="1"/>
  <c r="H48" i="1" s="1"/>
  <c r="G40" i="1"/>
  <c r="H40" i="1" s="1" a="1"/>
  <c r="H40" i="1" s="1"/>
  <c r="G32" i="1"/>
  <c r="H32" i="1" s="1" a="1"/>
  <c r="H32" i="1" s="1"/>
  <c r="G24" i="1"/>
  <c r="H24" i="1" s="1" a="1"/>
  <c r="H24" i="1" s="1"/>
  <c r="G16" i="1"/>
  <c r="H16" i="1" s="1" a="1"/>
  <c r="H16" i="1" s="1"/>
  <c r="G8" i="1"/>
  <c r="H8" i="1" s="1" a="1"/>
  <c r="H8" i="1" s="1"/>
  <c r="G47" i="1"/>
  <c r="H47" i="1" s="1" a="1"/>
  <c r="H47" i="1" s="1"/>
  <c r="G39" i="1"/>
  <c r="H39" i="1" s="1" a="1"/>
  <c r="H39" i="1" s="1"/>
  <c r="G31" i="1"/>
  <c r="H31" i="1" s="1" a="1"/>
  <c r="H31" i="1" s="1"/>
  <c r="G23" i="1"/>
  <c r="H23" i="1" s="1" a="1"/>
  <c r="H23" i="1" s="1"/>
  <c r="G15" i="1"/>
  <c r="H15" i="1" s="1" a="1"/>
  <c r="H15" i="1" s="1"/>
  <c r="G7" i="1"/>
  <c r="H7" i="1" s="1" a="1"/>
  <c r="H7" i="1" s="1"/>
  <c r="G46" i="1"/>
  <c r="H46" i="1" s="1" a="1"/>
  <c r="H46" i="1" s="1"/>
  <c r="G38" i="1"/>
  <c r="H38" i="1" s="1" a="1"/>
  <c r="H38" i="1" s="1"/>
  <c r="G30" i="1"/>
  <c r="H30" i="1" s="1" a="1"/>
  <c r="H30" i="1" s="1"/>
  <c r="G22" i="1"/>
  <c r="H22" i="1" s="1" a="1"/>
  <c r="H22" i="1" s="1"/>
  <c r="G14" i="1"/>
  <c r="H14" i="1" s="1" a="1"/>
  <c r="H14" i="1" s="1"/>
  <c r="G6" i="1"/>
  <c r="H6" i="1" s="1" a="1"/>
  <c r="H6" i="1" s="1"/>
  <c r="I17" i="1" l="1" a="1"/>
  <c r="I17" i="1" s="1"/>
  <c r="I36" i="1" a="1"/>
  <c r="I36" i="1" s="1"/>
  <c r="I23" i="1" a="1"/>
  <c r="I23" i="1" s="1"/>
  <c r="I15" i="1" a="1"/>
  <c r="I15" i="1" s="1"/>
  <c r="I49" i="1" a="1"/>
  <c r="I49" i="1" s="1"/>
  <c r="I34" i="1" a="1"/>
  <c r="I34" i="1" s="1"/>
  <c r="I7" i="1" a="1"/>
  <c r="I7" i="1" s="1"/>
  <c r="I31" i="1" a="1"/>
  <c r="I31" i="1" s="1"/>
  <c r="I4" i="1" a="1"/>
  <c r="I4" i="1" s="1"/>
  <c r="I27" i="1" a="1"/>
  <c r="I27" i="1" s="1"/>
  <c r="I30" i="1" a="1"/>
  <c r="I30" i="1" s="1"/>
  <c r="I45" i="1" a="1"/>
  <c r="I45" i="1" s="1"/>
  <c r="I13" i="1" a="1"/>
  <c r="I13" i="1" s="1"/>
  <c r="I32" i="1" a="1"/>
  <c r="I32" i="1" s="1"/>
  <c r="I51" i="1" a="1"/>
  <c r="I51" i="1" s="1"/>
  <c r="I19" i="1" a="1"/>
  <c r="I19" i="1" s="1"/>
  <c r="I26" i="1" a="1"/>
  <c r="I26" i="1" s="1"/>
  <c r="I41" i="1" a="1"/>
  <c r="I41" i="1" s="1"/>
  <c r="I9" i="1" a="1"/>
  <c r="I9" i="1" s="1"/>
  <c r="I28" i="1" a="1"/>
  <c r="I28" i="1" s="1"/>
  <c r="I47" i="1" a="1"/>
  <c r="I47" i="1" s="1"/>
  <c r="I22" i="1" a="1"/>
  <c r="I22" i="1" s="1"/>
  <c r="I37" i="1" a="1"/>
  <c r="I37" i="1" s="1"/>
  <c r="I5" i="1" a="1"/>
  <c r="I5" i="1" s="1"/>
  <c r="I24" i="1" a="1"/>
  <c r="I24" i="1" s="1"/>
  <c r="I43" i="1" a="1"/>
  <c r="I43" i="1" s="1"/>
  <c r="I11" i="1" a="1"/>
  <c r="I11" i="1" s="1"/>
  <c r="I50" i="1" a="1"/>
  <c r="I50" i="1" s="1"/>
  <c r="I18" i="1" a="1"/>
  <c r="I18" i="1" s="1"/>
  <c r="I33" i="1" a="1"/>
  <c r="I33" i="1" s="1"/>
  <c r="I52" i="1" a="1"/>
  <c r="I52" i="1" s="1"/>
  <c r="I20" i="1" a="1"/>
  <c r="I20" i="1" s="1"/>
  <c r="I39" i="1" a="1"/>
  <c r="I39" i="1" s="1"/>
  <c r="I46" i="1" a="1"/>
  <c r="I46" i="1" s="1"/>
  <c r="I14" i="1" a="1"/>
  <c r="I14" i="1" s="1"/>
  <c r="I29" i="1" a="1"/>
  <c r="I29" i="1" s="1"/>
  <c r="I48" i="1" a="1"/>
  <c r="I48" i="1" s="1"/>
  <c r="I16" i="1" a="1"/>
  <c r="I16" i="1" s="1"/>
  <c r="I35" i="1" a="1"/>
  <c r="I35" i="1" s="1"/>
  <c r="I3" i="1" a="1"/>
  <c r="I3" i="1" s="1"/>
  <c r="I42" i="1" a="1"/>
  <c r="I42" i="1" s="1"/>
  <c r="I10" i="1" a="1"/>
  <c r="I10" i="1" s="1"/>
  <c r="I25" i="1" a="1"/>
  <c r="I25" i="1" s="1"/>
  <c r="I44" i="1" a="1"/>
  <c r="I44" i="1" s="1"/>
  <c r="I12" i="1" a="1"/>
  <c r="I12" i="1" s="1"/>
  <c r="I38" i="1" a="1"/>
  <c r="I38" i="1" s="1"/>
  <c r="I6" i="1" a="1"/>
  <c r="I6" i="1" s="1"/>
  <c r="I21" i="1" a="1"/>
  <c r="I21" i="1" s="1"/>
  <c r="I40" i="1" a="1"/>
  <c r="I40" i="1" s="1"/>
  <c r="I8" i="1" a="1"/>
  <c r="I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<sst xmlns="http://schemas.openxmlformats.org/spreadsheetml/2006/main" count="31" uniqueCount="28">
  <si>
    <t>Name</t>
  </si>
  <si>
    <t>Month</t>
  </si>
  <si>
    <t>Contact</t>
  </si>
  <si>
    <t>Group/Department</t>
  </si>
  <si>
    <t>Total Days Present</t>
  </si>
  <si>
    <t>Actual Days Present</t>
  </si>
  <si>
    <t>Email Address</t>
  </si>
  <si>
    <t>Department</t>
  </si>
  <si>
    <t>Legend</t>
  </si>
  <si>
    <t>Marketing</t>
  </si>
  <si>
    <t xml:space="preserve">Department </t>
  </si>
  <si>
    <t>Group</t>
  </si>
  <si>
    <t>Sales</t>
  </si>
  <si>
    <t>A</t>
  </si>
  <si>
    <t>HR</t>
  </si>
  <si>
    <t>B</t>
  </si>
  <si>
    <t>IT</t>
  </si>
  <si>
    <t>C</t>
  </si>
  <si>
    <t>Finance</t>
  </si>
  <si>
    <t>D</t>
  </si>
  <si>
    <t>E</t>
  </si>
  <si>
    <t>Date</t>
  </si>
  <si>
    <t>Attended</t>
  </si>
  <si>
    <t>Attendance Status</t>
  </si>
  <si>
    <t>Attendance Percentage</t>
  </si>
  <si>
    <t>Attendance Requirement Met</t>
  </si>
  <si>
    <t>Column1</t>
  </si>
  <si>
    <t xml:space="preserve">Attendance Tracker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</si>
</sst>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-yyyy"/>
  </numFmts>
  <fonts count="11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 tint="4.9989318521683403E-2"/>
      <name val="Calibri"/>
      <family val="2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4"/>
      <color theme="0"/>
      <name val="Calibri"/>
      <family val="2"/>
    </font>
    <font>
      <sz val="12"/>
      <color theme="1" tint="4.9989318521683403E-2"/>
      <name val="Calibri"/>
      <family val="2"/>
    </font>
    <font>
      <sz val="12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434343"/>
        <bgColor rgb="FF434343"/>
      </patternFill>
    </fill>
    <fill>
      <patternFill patternType="solid">
        <fgColor rgb="FF666666"/>
        <bgColor rgb="FF666666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1" tint="4.9989318521683403E-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1" tint="4.9989318521683403E-2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" fillId="2" borderId="1">
      <alignment horizontal="center" vertical="center"/>
    </xf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3" fillId="0" borderId="2" xfId="0" applyFont="1" applyBorder="1" applyAlignment="1">
      <alignment horizontal="center" vertical="top"/>
    </xf>
    <xf numFmtId="0" fontId="3" fillId="3" borderId="0" xfId="0" applyFont="1" applyFill="1"/>
    <xf numFmtId="0" fontId="3" fillId="4" borderId="0" xfId="0" applyFont="1" applyFill="1"/>
    <xf numFmtId="0" fontId="3" fillId="0" borderId="2" xfId="0" applyFont="1" applyBorder="1" applyAlignment="1">
      <alignment horizontal="center" vertical="top" wrapText="1"/>
    </xf>
    <xf numFmtId="15" fontId="2" fillId="0" borderId="0" xfId="0" applyNumberFormat="1" applyFont="1" applyAlignment="1">
      <alignment horizontal="right" wrapText="1"/>
    </xf>
    <xf numFmtId="0" fontId="4" fillId="0" borderId="0" xfId="0" applyFont="1"/>
    <xf numFmtId="0" fontId="3" fillId="0" borderId="0" xfId="0" applyFont="1"/>
    <xf numFmtId="0" fontId="10" fillId="0" borderId="0" xfId="0" applyFont="1"/>
    <xf numFmtId="9" fontId="10" fillId="0" borderId="0" xfId="2" applyFont="1"/>
    <xf numFmtId="9" fontId="8" fillId="5" borderId="3" xfId="2" applyFont="1" applyFill="1" applyBorder="1" applyAlignment="1">
      <alignment horizontal="center" vertical="center"/>
    </xf>
    <xf numFmtId="0" fontId="8" fillId="5" borderId="3" xfId="1" applyFont="1" applyFill="1" applyBorder="1">
      <alignment horizontal="center" vertical="center"/>
    </xf>
    <xf numFmtId="0" fontId="9" fillId="0" borderId="4" xfId="0" applyFont="1" applyBorder="1"/>
    <xf numFmtId="9" fontId="9" fillId="0" borderId="4" xfId="2" applyFont="1" applyBorder="1"/>
    <xf numFmtId="0" fontId="9" fillId="6" borderId="4" xfId="0" applyFont="1" applyFill="1" applyBorder="1"/>
    <xf numFmtId="164" fontId="9" fillId="0" borderId="4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164" fontId="10" fillId="7" borderId="0" xfId="0" applyNumberFormat="1" applyFont="1" applyFill="1" applyAlignment="1">
      <alignment horizontal="center"/>
    </xf>
    <xf numFmtId="0" fontId="7" fillId="7" borderId="0" xfId="3" applyFill="1" applyBorder="1"/>
    <xf numFmtId="0" fontId="8" fillId="5" borderId="5" xfId="1" applyFont="1" applyFill="1" applyBorder="1">
      <alignment horizontal="center" vertical="center"/>
    </xf>
    <xf numFmtId="0" fontId="8" fillId="5" borderId="6" xfId="1" applyFont="1" applyFill="1" applyBorder="1">
      <alignment horizontal="center" vertical="center"/>
    </xf>
    <xf numFmtId="0" fontId="8" fillId="5" borderId="7" xfId="1" applyFont="1" applyFill="1" applyBorder="1">
      <alignment horizontal="center" vertical="center"/>
    </xf>
    <xf numFmtId="0" fontId="5" fillId="0" borderId="8" xfId="0" applyFont="1" applyBorder="1"/>
    <xf numFmtId="9" fontId="9" fillId="0" borderId="9" xfId="0" applyNumberFormat="1" applyFont="1" applyBorder="1"/>
    <xf numFmtId="0" fontId="5" fillId="0" borderId="10" xfId="0" applyFont="1" applyBorder="1"/>
    <xf numFmtId="164" fontId="9" fillId="0" borderId="11" xfId="0" applyNumberFormat="1" applyFont="1" applyBorder="1" applyAlignment="1">
      <alignment horizontal="center"/>
    </xf>
    <xf numFmtId="0" fontId="9" fillId="0" borderId="11" xfId="0" applyFont="1" applyBorder="1"/>
    <xf numFmtId="9" fontId="9" fillId="0" borderId="11" xfId="2" applyFont="1" applyBorder="1"/>
    <xf numFmtId="9" fontId="9" fillId="0" borderId="12" xfId="0" applyNumberFormat="1" applyFont="1" applyBorder="1"/>
    <xf numFmtId="0" fontId="9" fillId="0" borderId="14" xfId="0" applyFont="1" applyBorder="1"/>
    <xf numFmtId="0" fontId="9" fillId="0" borderId="13" xfId="0" applyFont="1" applyBorder="1"/>
    <xf numFmtId="0" fontId="10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 wrapText="1"/>
    </xf>
  </cellXfs>
  <cellStyles count="4">
    <cellStyle name="Normal" xfId="0" builtinId="0"/>
    <cellStyle name="Per cent" xfId="2" builtinId="5"/>
    <cellStyle name="Report Header" xfId="1" xr:uid="{9F509735-BFB6-9846-8AB0-315F7964AEEC}"/>
    <cellStyle name="Title" xfId="3" builtinId="15"/>
  </cellStyles>
  <dxfs count="20">
    <dxf>
      <font>
        <color rgb="FF000000"/>
      </font>
      <fill>
        <patternFill patternType="solid">
          <fgColor indexed="64"/>
          <bgColor rgb="FFF8696B"/>
        </patternFill>
      </fill>
    </dxf>
    <dxf>
      <font>
        <color rgb="FF000000"/>
      </font>
      <fill>
        <patternFill patternType="solid">
          <fgColor indexed="64"/>
          <bgColor rgb="FF63BE7B"/>
        </patternFill>
      </fill>
    </dxf>
    <dxf>
      <font>
        <color rgb="FF000000"/>
      </font>
      <fill>
        <patternFill patternType="solid">
          <fgColor indexed="64"/>
          <bgColor rgb="FFFCBF7B"/>
        </patternFill>
      </fill>
    </dxf>
    <dxf>
      <font>
        <color rgb="FF000000"/>
      </font>
      <fill>
        <patternFill patternType="solid">
          <fgColor indexed="64"/>
          <bgColor rgb="FF5A8AC6"/>
        </patternFill>
      </fill>
    </dxf>
    <dxf>
      <font>
        <color rgb="FF000000"/>
      </font>
      <fill>
        <patternFill patternType="solid">
          <fgColor indexed="64"/>
          <bgColor rgb="FFF8696B"/>
        </patternFill>
      </fill>
    </dxf>
    <dxf>
      <font>
        <color rgb="FF000000"/>
      </font>
      <fill>
        <patternFill patternType="solid">
          <fgColor indexed="64"/>
          <bgColor rgb="FF63BE7B"/>
        </patternFill>
      </fill>
    </dxf>
    <dxf>
      <font>
        <color rgb="FF000000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numFmt numFmtId="13" formatCode="0%"/>
      <border diagonalUp="0" diagonalDown="0">
        <left style="thin">
          <color theme="2" tint="-0.249977111117893"/>
        </left>
        <right/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numFmt numFmtId="13" formatCode="0%"/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numFmt numFmtId="0" formatCode="General"/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  <numFmt numFmtId="164" formatCode="mmm\-yyyy"/>
      <alignment horizont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none"/>
      </font>
      <border diagonalUp="0" diagonalDown="0">
        <left/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 diagonalUp="0" diagonalDown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font>
        <strike val="0"/>
        <outline val="0"/>
        <shadow val="0"/>
        <u val="none"/>
        <vertAlign val="baseline"/>
        <color theme="1" tint="4.9989318521683403E-2"/>
        <name val="Calibri"/>
        <family val="2"/>
        <scheme val="none"/>
      </font>
    </dxf>
    <dxf>
      <border>
        <bottom style="medium">
          <color theme="1" tint="4.9989318521683403E-2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5FE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3105E8-D41A-5A42-810C-6426990FA80B}" name="Table1" displayName="Table1" ref="A2:I52" totalsRowShown="0" headerRowDxfId="19" dataDxfId="17" headerRowBorderDxfId="18" tableBorderDxfId="16" headerRowCellStyle="Report Header">
  <autoFilter ref="A2:I52" xr:uid="{3E3105E8-D41A-5A42-810C-6426990FA80B}"/>
  <tableColumns count="9">
    <tableColumn id="1" xr3:uid="{A6B7F272-6330-4A4C-AF0B-31E619C2A873}" name="Name" dataDxfId="15"/>
    <tableColumn id="2" xr3:uid="{B1D29435-C8BD-AE4B-9433-057B0F50B426}" name="Month" dataDxfId="14"/>
    <tableColumn id="3" xr3:uid="{4762FF75-DEBE-7C41-8B8A-32A439BE3DED}" name="Contact" dataDxfId="13">
      <calculatedColumnFormula>VLOOKUP(A3,Contact!$A:$B,2,)</calculatedColumnFormula>
    </tableColumn>
    <tableColumn id="4" xr3:uid="{C81F3465-A03E-9248-BDB4-EF25B9349CFE}" name="Group/Department" dataDxfId="12">
      <calculatedColumnFormula>_xlfn.XLOOKUP(A3,Department!$A:$A,Department!$B:$B,)</calculatedColumnFormula>
    </tableColumn>
    <tableColumn id="5" xr3:uid="{F71D93C1-5A6C-FC43-82ED-20174B87B8F7}" name="Total Days Present" dataDxfId="11">
      <calculatedColumnFormula>DATE(2025,7,5) - DATE(2025,7,1) + 1</calculatedColumnFormula>
    </tableColumn>
    <tableColumn id="6" xr3:uid="{FD986257-5844-294B-88CB-BD9EA840A8A5}" name="Actual Days Present" dataDxfId="10">
      <calculatedColumnFormula>COUNTIFS('Attendance Log'!A:A,A3,'Attendance Log'!C:C,"Yes")</calculatedColumnFormula>
    </tableColumn>
    <tableColumn id="7" xr3:uid="{5D09B8D3-7D60-394A-940E-3F1912839708}" name="Attendance Percentage" dataDxfId="9" dataCellStyle="Per cent">
      <calculatedColumnFormula>Table1[[#This Row],[Actual Days Present]]/Table1[[#This Row],[Total Days Present]]</calculatedColumnFormula>
    </tableColumn>
    <tableColumn id="8" xr3:uid="{DB00C5D6-646D-FB41-83FB-AE86D14EBA11}" name="Attendance Requirement Met" dataDxfId="8">
      <calculatedColumnFormula array="1">_xlfn.IFS(Table1[[#This Row],[Attendance Percentage]]&gt;=80%,"A (Marketing), B (Sales), C (HR)",Table1[[#This Row],[Attendance Percentage]]&gt;=40%,"D (IT), E (Finance)",Table1[[#This Row],[Attendance Percentage]]&lt;40%,"Requirements Not Met")</calculatedColumnFormula>
    </tableColumn>
    <tableColumn id="9" xr3:uid="{05A8E86A-F749-D443-8D70-1191D12F101C}" name="Column1" dataDxfId="7">
      <calculatedColumnFormula array="1">SUM(--(Table1[Attendance Requirement Met]&lt;&gt;"Requirements Not Met"))/COUNTA(Table1[Name])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2FC91-9D32-6A4B-B905-B5EBA61F1926}">
  <dimension ref="A1:L52"/>
  <sheetViews>
    <sheetView tabSelected="1" workbookViewId="0">
      <pane ySplit="2" topLeftCell="A3" activePane="bottomLeft" state="frozen"/>
      <selection pane="bottomLeft"/>
    </sheetView>
  </sheetViews>
  <sheetFormatPr baseColWidth="10" defaultRowHeight="16" x14ac:dyDescent="0.2"/>
  <cols>
    <col min="1" max="1" width="26" style="9" bestFit="1" customWidth="1"/>
    <col min="2" max="2" width="13" style="17" bestFit="1" customWidth="1"/>
    <col min="3" max="3" width="24" style="9" bestFit="1" customWidth="1"/>
    <col min="4" max="4" width="25.6640625" style="9" bestFit="1" customWidth="1"/>
    <col min="5" max="5" width="24.6640625" style="9" bestFit="1" customWidth="1"/>
    <col min="6" max="6" width="25.83203125" style="9" bestFit="1" customWidth="1"/>
    <col min="7" max="7" width="29.5" style="10" bestFit="1" customWidth="1"/>
    <col min="8" max="8" width="36" style="32" bestFit="1" customWidth="1"/>
    <col min="9" max="9" width="14.83203125" style="9" bestFit="1" customWidth="1"/>
  </cols>
  <sheetData>
    <row r="1" spans="1:12" ht="24" x14ac:dyDescent="0.3">
      <c r="A1" s="19" t="s">
        <v>27</v>
      </c>
      <c r="B1" s="18"/>
    </row>
    <row r="2" spans="1:12" ht="19" x14ac:dyDescent="0.2">
      <c r="A2" s="20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21" t="s">
        <v>5</v>
      </c>
      <c r="G2" s="11" t="s">
        <v>24</v>
      </c>
      <c r="H2" s="12" t="s">
        <v>25</v>
      </c>
      <c r="I2" s="22" t="s">
        <v>26</v>
      </c>
    </row>
    <row r="3" spans="1:12" x14ac:dyDescent="0.2">
      <c r="A3" s="23"/>
      <c r="B3" s="16"/>
      <c r="C3" s="13" t="e">
        <f>VLOOKUP(A3,Contact!$A:$B,2,)</f>
        <v>#N/A</v>
      </c>
      <c r="D3" s="13">
        <f>_xlfn.XLOOKUP(A3,Department!$A:$A,Department!$B:$B,)</f>
        <v>0</v>
      </c>
      <c r="E3" s="13">
        <f t="shared" ref="E3:E34" si="0">DATE(2025,7,5) - DATE(2025,7,1) + 1</f>
        <v>5</v>
      </c>
      <c r="F3" s="13">
        <f>COUNTIFS('Attendance Log'!A:A,A3,'Attendance Log'!C:C,"Yes")</f>
        <v>0</v>
      </c>
      <c r="G3" s="14">
        <f>Table1[[#This Row],[Actual Days Present]]/Table1[[#This Row],[Total Days Present]]</f>
        <v>0</v>
      </c>
      <c r="H3" s="33" t="str" cm="1">
        <f t="array" ref="H3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" s="24" t="e" cm="1">
        <f t="array" ref="I3">SUM(--(Table1[Attendance Requirement Met]&lt;&gt;"Requirements Not Met"))/COUNTA(Table1[Name])</f>
        <v>#DIV/0!</v>
      </c>
      <c r="K3" s="8"/>
      <c r="L3" s="1"/>
    </row>
    <row r="4" spans="1:12" x14ac:dyDescent="0.2">
      <c r="A4" s="23"/>
      <c r="B4" s="16"/>
      <c r="C4" s="13" t="e">
        <f>VLOOKUP(A4,Contact!$A:$B,2,)</f>
        <v>#N/A</v>
      </c>
      <c r="D4" s="13">
        <f>_xlfn.XLOOKUP(A4,Department!$A:$A,Department!$B:$B,)</f>
        <v>0</v>
      </c>
      <c r="E4" s="13">
        <f t="shared" si="0"/>
        <v>5</v>
      </c>
      <c r="F4" s="13">
        <f>COUNTIFS('Attendance Log'!A:A,A4,'Attendance Log'!C:C,"Yes")</f>
        <v>0</v>
      </c>
      <c r="G4" s="14">
        <f>Table1[[#This Row],[Actual Days Present]]/Table1[[#This Row],[Total Days Present]]</f>
        <v>0</v>
      </c>
      <c r="H4" s="33" t="str" cm="1">
        <f t="array" ref="H4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" s="24" t="e" cm="1">
        <f t="array" ref="I4">SUM(--(Table1[Attendance Requirement Met]&lt;&gt;"Requirements Not Met"))/COUNTA(Table1[Name])</f>
        <v>#DIV/0!</v>
      </c>
      <c r="K4" s="8"/>
      <c r="L4" s="8"/>
    </row>
    <row r="5" spans="1:12" x14ac:dyDescent="0.2">
      <c r="A5" s="23"/>
      <c r="B5" s="16"/>
      <c r="C5" s="13" t="e">
        <f>VLOOKUP(A5,Contact!$A:$B,2,)</f>
        <v>#N/A</v>
      </c>
      <c r="D5" s="13">
        <f>_xlfn.XLOOKUP(A5,Department!$A:$A,Department!$B:$B,)</f>
        <v>0</v>
      </c>
      <c r="E5" s="13">
        <f t="shared" si="0"/>
        <v>5</v>
      </c>
      <c r="F5" s="13">
        <f>COUNTIFS('Attendance Log'!A:A,A5,'Attendance Log'!C:C,"Yes")</f>
        <v>0</v>
      </c>
      <c r="G5" s="14">
        <f>Table1[[#This Row],[Actual Days Present]]/Table1[[#This Row],[Total Days Present]]</f>
        <v>0</v>
      </c>
      <c r="H5" s="33" t="str" cm="1">
        <f t="array" ref="H5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5" s="24" t="e" cm="1">
        <f t="array" ref="I5">SUM(--(Table1[Attendance Requirement Met]&lt;&gt;"Requirements Not Met"))/COUNTA(Table1[Name])</f>
        <v>#DIV/0!</v>
      </c>
      <c r="K5" s="1"/>
      <c r="L5" s="1"/>
    </row>
    <row r="6" spans="1:12" x14ac:dyDescent="0.2">
      <c r="A6" s="23"/>
      <c r="B6" s="16"/>
      <c r="C6" s="13" t="e">
        <f>VLOOKUP(A6,Contact!$A:$B,2,)</f>
        <v>#N/A</v>
      </c>
      <c r="D6" s="15">
        <f>_xlfn.XLOOKUP(A6,Department!$A:$A,Department!$B:$B,)</f>
        <v>0</v>
      </c>
      <c r="E6" s="13">
        <f t="shared" si="0"/>
        <v>5</v>
      </c>
      <c r="F6" s="13">
        <f>COUNTIFS('Attendance Log'!A:A,A6,'Attendance Log'!C:C,"Yes")</f>
        <v>0</v>
      </c>
      <c r="G6" s="14">
        <f>Table1[[#This Row],[Actual Days Present]]/Table1[[#This Row],[Total Days Present]]</f>
        <v>0</v>
      </c>
      <c r="H6" s="33" t="str" cm="1">
        <f t="array" ref="H6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6" s="24" t="e" cm="1">
        <f t="array" ref="I6">SUM(--(Table1[Attendance Requirement Met]&lt;&gt;"Requirements Not Met"))/COUNTA(Table1[Name])</f>
        <v>#DIV/0!</v>
      </c>
      <c r="K6" s="1"/>
      <c r="L6" s="1"/>
    </row>
    <row r="7" spans="1:12" x14ac:dyDescent="0.2">
      <c r="A7" s="23"/>
      <c r="B7" s="16"/>
      <c r="C7" s="13" t="e">
        <f>VLOOKUP(A7,Contact!$A:$B,2,)</f>
        <v>#N/A</v>
      </c>
      <c r="D7" s="13">
        <f>_xlfn.XLOOKUP(A7,Department!$A:$A,Department!$B:$B,)</f>
        <v>0</v>
      </c>
      <c r="E7" s="13">
        <f t="shared" si="0"/>
        <v>5</v>
      </c>
      <c r="F7" s="13">
        <f>COUNTIFS('Attendance Log'!A:A,A7,'Attendance Log'!C:C,"Yes")</f>
        <v>0</v>
      </c>
      <c r="G7" s="14">
        <f>Table1[[#This Row],[Actual Days Present]]/Table1[[#This Row],[Total Days Present]]</f>
        <v>0</v>
      </c>
      <c r="H7" s="33" t="str" cm="1">
        <f t="array" ref="H7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7" s="24" t="e" cm="1">
        <f t="array" ref="I7">SUM(--(Table1[Attendance Requirement Met]&lt;&gt;"Requirements Not Met"))/COUNTA(Table1[Name])</f>
        <v>#DIV/0!</v>
      </c>
      <c r="K7" s="1"/>
      <c r="L7" s="1"/>
    </row>
    <row r="8" spans="1:12" x14ac:dyDescent="0.2">
      <c r="A8" s="23"/>
      <c r="B8" s="16"/>
      <c r="C8" s="13" t="e">
        <f>VLOOKUP(A8,Contact!$A:$B,2,)</f>
        <v>#N/A</v>
      </c>
      <c r="D8" s="13">
        <f>_xlfn.XLOOKUP(A8,Department!$A:$A,Department!$B:$B,)</f>
        <v>0</v>
      </c>
      <c r="E8" s="13">
        <f t="shared" si="0"/>
        <v>5</v>
      </c>
      <c r="F8" s="13">
        <f>COUNTIFS('Attendance Log'!A:A,A8,'Attendance Log'!C:C,"Yes")</f>
        <v>0</v>
      </c>
      <c r="G8" s="14">
        <f>Table1[[#This Row],[Actual Days Present]]/Table1[[#This Row],[Total Days Present]]</f>
        <v>0</v>
      </c>
      <c r="H8" s="33" t="str" cm="1">
        <f t="array" ref="H8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8" s="24" t="e" cm="1">
        <f t="array" ref="I8">SUM(--(Table1[Attendance Requirement Met]&lt;&gt;"Requirements Not Met"))/COUNTA(Table1[Name])</f>
        <v>#DIV/0!</v>
      </c>
      <c r="K8" s="1"/>
      <c r="L8" s="1"/>
    </row>
    <row r="9" spans="1:12" x14ac:dyDescent="0.2">
      <c r="A9" s="23"/>
      <c r="B9" s="16"/>
      <c r="C9" s="13" t="e">
        <f>VLOOKUP(A9,Contact!$A:$B,2,)</f>
        <v>#N/A</v>
      </c>
      <c r="D9" s="13">
        <f>_xlfn.XLOOKUP(A9,Department!$A:$A,Department!$B:$B,)</f>
        <v>0</v>
      </c>
      <c r="E9" s="13">
        <f t="shared" si="0"/>
        <v>5</v>
      </c>
      <c r="F9" s="13">
        <f>COUNTIFS('Attendance Log'!A:A,A9,'Attendance Log'!C:C,"Yes")</f>
        <v>0</v>
      </c>
      <c r="G9" s="14">
        <f>Table1[[#This Row],[Actual Days Present]]/Table1[[#This Row],[Total Days Present]]</f>
        <v>0</v>
      </c>
      <c r="H9" s="33" t="str" cm="1">
        <f t="array" ref="H9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9" s="24" t="e" cm="1">
        <f t="array" ref="I9">SUM(--(Table1[Attendance Requirement Met]&lt;&gt;"Requirements Not Met"))/COUNTA(Table1[Name])</f>
        <v>#DIV/0!</v>
      </c>
      <c r="K9" s="1"/>
      <c r="L9" s="1"/>
    </row>
    <row r="10" spans="1:12" x14ac:dyDescent="0.2">
      <c r="A10" s="23"/>
      <c r="B10" s="16"/>
      <c r="C10" s="13" t="e">
        <f>VLOOKUP(A10,Contact!$A:$B,2,)</f>
        <v>#N/A</v>
      </c>
      <c r="D10" s="13">
        <f>_xlfn.XLOOKUP(A10,Department!$A:$A,Department!$B:$B,)</f>
        <v>0</v>
      </c>
      <c r="E10" s="13">
        <f t="shared" si="0"/>
        <v>5</v>
      </c>
      <c r="F10" s="13">
        <f>COUNTIFS('Attendance Log'!A:A,A10,'Attendance Log'!C:C,"Yes")</f>
        <v>0</v>
      </c>
      <c r="G10" s="14">
        <f>Table1[[#This Row],[Actual Days Present]]/Table1[[#This Row],[Total Days Present]]</f>
        <v>0</v>
      </c>
      <c r="H10" s="33" t="str" cm="1">
        <f t="array" ref="H10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0" s="24" t="e" cm="1">
        <f t="array" ref="I10">SUM(--(Table1[Attendance Requirement Met]&lt;&gt;"Requirements Not Met"))/COUNTA(Table1[Name])</f>
        <v>#DIV/0!</v>
      </c>
    </row>
    <row r="11" spans="1:12" x14ac:dyDescent="0.2">
      <c r="A11" s="23"/>
      <c r="B11" s="16"/>
      <c r="C11" s="13" t="e">
        <f>VLOOKUP(A11,Contact!$A:$B,2,)</f>
        <v>#N/A</v>
      </c>
      <c r="D11" s="15">
        <f>_xlfn.XLOOKUP(A11,Department!$A:$A,Department!$B:$B,)</f>
        <v>0</v>
      </c>
      <c r="E11" s="13">
        <f t="shared" si="0"/>
        <v>5</v>
      </c>
      <c r="F11" s="13">
        <f>COUNTIFS('Attendance Log'!A:A,A11,'Attendance Log'!C:C,"Yes")</f>
        <v>0</v>
      </c>
      <c r="G11" s="14">
        <f>Table1[[#This Row],[Actual Days Present]]/Table1[[#This Row],[Total Days Present]]</f>
        <v>0</v>
      </c>
      <c r="H11" s="33" t="str" cm="1">
        <f t="array" ref="H11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1" s="24" t="e" cm="1">
        <f t="array" ref="I11">SUM(--(Table1[Attendance Requirement Met]&lt;&gt;"Requirements Not Met"))/COUNTA(Table1[Name])</f>
        <v>#DIV/0!</v>
      </c>
    </row>
    <row r="12" spans="1:12" x14ac:dyDescent="0.2">
      <c r="A12" s="23"/>
      <c r="B12" s="16"/>
      <c r="C12" s="13" t="e">
        <f>VLOOKUP(A12,Contact!$A:$B,2,)</f>
        <v>#N/A</v>
      </c>
      <c r="D12" s="13">
        <f>_xlfn.XLOOKUP(A12,Department!$A:$A,Department!$B:$B,)</f>
        <v>0</v>
      </c>
      <c r="E12" s="13">
        <f t="shared" si="0"/>
        <v>5</v>
      </c>
      <c r="F12" s="13">
        <f>COUNTIFS('Attendance Log'!A:A,A12,'Attendance Log'!C:C,"Yes")</f>
        <v>0</v>
      </c>
      <c r="G12" s="14">
        <f>Table1[[#This Row],[Actual Days Present]]/Table1[[#This Row],[Total Days Present]]</f>
        <v>0</v>
      </c>
      <c r="H12" s="33" t="str" cm="1">
        <f t="array" ref="H12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2" s="24" t="e" cm="1">
        <f t="array" ref="I12">SUM(--(Table1[Attendance Requirement Met]&lt;&gt;"Requirements Not Met"))/COUNTA(Table1[Name])</f>
        <v>#DIV/0!</v>
      </c>
    </row>
    <row r="13" spans="1:12" x14ac:dyDescent="0.2">
      <c r="A13" s="23"/>
      <c r="B13" s="16"/>
      <c r="C13" s="13" t="e">
        <f>VLOOKUP(A13,Contact!$A:$B,2,)</f>
        <v>#N/A</v>
      </c>
      <c r="D13" s="13">
        <f>_xlfn.XLOOKUP(A13,Department!$A:$A,Department!$B:$B,)</f>
        <v>0</v>
      </c>
      <c r="E13" s="13">
        <f t="shared" si="0"/>
        <v>5</v>
      </c>
      <c r="F13" s="13">
        <f>COUNTIFS('Attendance Log'!A:A,A13,'Attendance Log'!C:C,"Yes")</f>
        <v>0</v>
      </c>
      <c r="G13" s="14">
        <f>Table1[[#This Row],[Actual Days Present]]/Table1[[#This Row],[Total Days Present]]</f>
        <v>0</v>
      </c>
      <c r="H13" s="33" t="str" cm="1">
        <f t="array" ref="H13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3" s="24" t="e" cm="1">
        <f t="array" ref="I13">SUM(--(Table1[Attendance Requirement Met]&lt;&gt;"Requirements Not Met"))/COUNTA(Table1[Name])</f>
        <v>#DIV/0!</v>
      </c>
    </row>
    <row r="14" spans="1:12" x14ac:dyDescent="0.2">
      <c r="A14" s="23"/>
      <c r="B14" s="16"/>
      <c r="C14" s="13" t="e">
        <f>VLOOKUP(A14,Contact!$A:$B,2,)</f>
        <v>#N/A</v>
      </c>
      <c r="D14" s="13">
        <f>_xlfn.XLOOKUP(A14,Department!$A:$A,Department!$B:$B,)</f>
        <v>0</v>
      </c>
      <c r="E14" s="13">
        <f t="shared" si="0"/>
        <v>5</v>
      </c>
      <c r="F14" s="13">
        <f>COUNTIFS('Attendance Log'!A:A,A14,'Attendance Log'!C:C,"Yes")</f>
        <v>0</v>
      </c>
      <c r="G14" s="14">
        <f>Table1[[#This Row],[Actual Days Present]]/Table1[[#This Row],[Total Days Present]]</f>
        <v>0</v>
      </c>
      <c r="H14" s="33" t="str" cm="1">
        <f t="array" ref="H14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4" s="24" t="e" cm="1">
        <f t="array" ref="I14">SUM(--(Table1[Attendance Requirement Met]&lt;&gt;"Requirements Not Met"))/COUNTA(Table1[Name])</f>
        <v>#DIV/0!</v>
      </c>
    </row>
    <row r="15" spans="1:12" x14ac:dyDescent="0.2">
      <c r="A15" s="23"/>
      <c r="B15" s="16"/>
      <c r="C15" s="13" t="e">
        <f>VLOOKUP(A15,Contact!$A:$B,2,)</f>
        <v>#N/A</v>
      </c>
      <c r="D15" s="13">
        <f>_xlfn.XLOOKUP(A15,Department!$A:$A,Department!$B:$B,)</f>
        <v>0</v>
      </c>
      <c r="E15" s="13">
        <f t="shared" si="0"/>
        <v>5</v>
      </c>
      <c r="F15" s="13">
        <f>COUNTIFS('Attendance Log'!A:A,A15,'Attendance Log'!C:C,"Yes")</f>
        <v>0</v>
      </c>
      <c r="G15" s="14">
        <f>Table1[[#This Row],[Actual Days Present]]/Table1[[#This Row],[Total Days Present]]</f>
        <v>0</v>
      </c>
      <c r="H15" s="33" t="str" cm="1">
        <f t="array" ref="H15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5" s="24" t="e" cm="1">
        <f t="array" ref="I15">SUM(--(Table1[Attendance Requirement Met]&lt;&gt;"Requirements Not Met"))/COUNTA(Table1[Name])</f>
        <v>#DIV/0!</v>
      </c>
    </row>
    <row r="16" spans="1:12" x14ac:dyDescent="0.2">
      <c r="A16" s="23"/>
      <c r="B16" s="16"/>
      <c r="C16" s="13" t="e">
        <f>VLOOKUP(A16,Contact!$A:$B,2,)</f>
        <v>#N/A</v>
      </c>
      <c r="D16" s="13">
        <f>_xlfn.XLOOKUP(A16,Department!$A:$A,Department!$B:$B,)</f>
        <v>0</v>
      </c>
      <c r="E16" s="13">
        <f t="shared" si="0"/>
        <v>5</v>
      </c>
      <c r="F16" s="13">
        <f>COUNTIFS('Attendance Log'!A:A,A16,'Attendance Log'!C:C,"Yes")</f>
        <v>0</v>
      </c>
      <c r="G16" s="14">
        <f>Table1[[#This Row],[Actual Days Present]]/Table1[[#This Row],[Total Days Present]]</f>
        <v>0</v>
      </c>
      <c r="H16" s="33" t="str" cm="1">
        <f t="array" ref="H16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6" s="24" t="e" cm="1">
        <f t="array" ref="I16">SUM(--(Table1[Attendance Requirement Met]&lt;&gt;"Requirements Not Met"))/COUNTA(Table1[Name])</f>
        <v>#DIV/0!</v>
      </c>
    </row>
    <row r="17" spans="1:9" x14ac:dyDescent="0.2">
      <c r="A17" s="23"/>
      <c r="B17" s="16"/>
      <c r="C17" s="13" t="e">
        <f>VLOOKUP(A17,Contact!$A:$B,2,)</f>
        <v>#N/A</v>
      </c>
      <c r="D17" s="13">
        <f>_xlfn.XLOOKUP(A17,Department!$A:$A,Department!$B:$B,)</f>
        <v>0</v>
      </c>
      <c r="E17" s="13">
        <f t="shared" si="0"/>
        <v>5</v>
      </c>
      <c r="F17" s="13">
        <f>COUNTIFS('Attendance Log'!A:A,A17,'Attendance Log'!C:C,"Yes")</f>
        <v>0</v>
      </c>
      <c r="G17" s="14">
        <f>Table1[[#This Row],[Actual Days Present]]/Table1[[#This Row],[Total Days Present]]</f>
        <v>0</v>
      </c>
      <c r="H17" s="33" t="str" cm="1">
        <f t="array" ref="H17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7" s="24" t="e" cm="1">
        <f t="array" ref="I17">SUM(--(Table1[Attendance Requirement Met]&lt;&gt;"Requirements Not Met"))/COUNTA(Table1[Name])</f>
        <v>#DIV/0!</v>
      </c>
    </row>
    <row r="18" spans="1:9" x14ac:dyDescent="0.2">
      <c r="A18" s="23"/>
      <c r="B18" s="16"/>
      <c r="C18" s="13" t="e">
        <f>VLOOKUP(A18,Contact!$A:$B,2,)</f>
        <v>#N/A</v>
      </c>
      <c r="D18" s="13">
        <f>_xlfn.XLOOKUP(A18,Department!$A:$A,Department!$B:$B,)</f>
        <v>0</v>
      </c>
      <c r="E18" s="13">
        <f t="shared" si="0"/>
        <v>5</v>
      </c>
      <c r="F18" s="13">
        <f>COUNTIFS('Attendance Log'!A:A,A18,'Attendance Log'!C:C,"Yes")</f>
        <v>0</v>
      </c>
      <c r="G18" s="14">
        <f>Table1[[#This Row],[Actual Days Present]]/Table1[[#This Row],[Total Days Present]]</f>
        <v>0</v>
      </c>
      <c r="H18" s="33" t="str" cm="1">
        <f t="array" ref="H18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8" s="24" t="e" cm="1">
        <f t="array" ref="I18">SUM(--(Table1[Attendance Requirement Met]&lt;&gt;"Requirements Not Met"))/COUNTA(Table1[Name])</f>
        <v>#DIV/0!</v>
      </c>
    </row>
    <row r="19" spans="1:9" x14ac:dyDescent="0.2">
      <c r="A19" s="23"/>
      <c r="B19" s="16"/>
      <c r="C19" s="13" t="e">
        <f>VLOOKUP(A19,Contact!$A:$B,2,)</f>
        <v>#N/A</v>
      </c>
      <c r="D19" s="13">
        <f>_xlfn.XLOOKUP(A19,Department!$A:$A,Department!$B:$B,)</f>
        <v>0</v>
      </c>
      <c r="E19" s="13">
        <f t="shared" si="0"/>
        <v>5</v>
      </c>
      <c r="F19" s="13">
        <f>COUNTIFS('Attendance Log'!A:A,A19,'Attendance Log'!C:C,"Yes")</f>
        <v>0</v>
      </c>
      <c r="G19" s="14">
        <f>Table1[[#This Row],[Actual Days Present]]/Table1[[#This Row],[Total Days Present]]</f>
        <v>0</v>
      </c>
      <c r="H19" s="33" t="str" cm="1">
        <f t="array" ref="H19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19" s="24" t="e" cm="1">
        <f t="array" ref="I19">SUM(--(Table1[Attendance Requirement Met]&lt;&gt;"Requirements Not Met"))/COUNTA(Table1[Name])</f>
        <v>#DIV/0!</v>
      </c>
    </row>
    <row r="20" spans="1:9" x14ac:dyDescent="0.2">
      <c r="A20" s="23"/>
      <c r="B20" s="16"/>
      <c r="C20" s="13" t="e">
        <f>VLOOKUP(A20,Contact!$A:$B,2,)</f>
        <v>#N/A</v>
      </c>
      <c r="D20" s="13">
        <f>_xlfn.XLOOKUP(A20,Department!$A:$A,Department!$B:$B,)</f>
        <v>0</v>
      </c>
      <c r="E20" s="13">
        <f t="shared" si="0"/>
        <v>5</v>
      </c>
      <c r="F20" s="13">
        <f>COUNTIFS('Attendance Log'!A:A,A20,'Attendance Log'!C:C,"Yes")</f>
        <v>0</v>
      </c>
      <c r="G20" s="14">
        <f>Table1[[#This Row],[Actual Days Present]]/Table1[[#This Row],[Total Days Present]]</f>
        <v>0</v>
      </c>
      <c r="H20" s="33" t="str" cm="1">
        <f t="array" ref="H20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0" s="24" t="e" cm="1">
        <f t="array" ref="I20">SUM(--(Table1[Attendance Requirement Met]&lt;&gt;"Requirements Not Met"))/COUNTA(Table1[Name])</f>
        <v>#DIV/0!</v>
      </c>
    </row>
    <row r="21" spans="1:9" x14ac:dyDescent="0.2">
      <c r="A21" s="23"/>
      <c r="B21" s="16"/>
      <c r="C21" s="13" t="e">
        <f>VLOOKUP(A21,Contact!$A:$B,2,)</f>
        <v>#N/A</v>
      </c>
      <c r="D21" s="15">
        <f>_xlfn.XLOOKUP(A21,Department!$A:$A,Department!$B:$B,)</f>
        <v>0</v>
      </c>
      <c r="E21" s="13">
        <f t="shared" si="0"/>
        <v>5</v>
      </c>
      <c r="F21" s="13">
        <f>COUNTIFS('Attendance Log'!A:A,A21,'Attendance Log'!C:C,"Yes")</f>
        <v>0</v>
      </c>
      <c r="G21" s="14">
        <f>Table1[[#This Row],[Actual Days Present]]/Table1[[#This Row],[Total Days Present]]</f>
        <v>0</v>
      </c>
      <c r="H21" s="33" t="str" cm="1">
        <f t="array" ref="H21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1" s="24" t="e" cm="1">
        <f t="array" ref="I21">SUM(--(Table1[Attendance Requirement Met]&lt;&gt;"Requirements Not Met"))/COUNTA(Table1[Name])</f>
        <v>#DIV/0!</v>
      </c>
    </row>
    <row r="22" spans="1:9" x14ac:dyDescent="0.2">
      <c r="A22" s="23"/>
      <c r="B22" s="16"/>
      <c r="C22" s="13" t="e">
        <f>VLOOKUP(A22,Contact!$A:$B,2,)</f>
        <v>#N/A</v>
      </c>
      <c r="D22" s="13">
        <f>_xlfn.XLOOKUP(A22,Department!$A:$A,Department!$B:$B,)</f>
        <v>0</v>
      </c>
      <c r="E22" s="13">
        <f t="shared" si="0"/>
        <v>5</v>
      </c>
      <c r="F22" s="13">
        <f>COUNTIFS('Attendance Log'!A:A,A22,'Attendance Log'!C:C,"Yes")</f>
        <v>0</v>
      </c>
      <c r="G22" s="14">
        <f>Table1[[#This Row],[Actual Days Present]]/Table1[[#This Row],[Total Days Present]]</f>
        <v>0</v>
      </c>
      <c r="H22" s="33" t="str" cm="1">
        <f t="array" ref="H22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2" s="24" t="e" cm="1">
        <f t="array" ref="I22">SUM(--(Table1[Attendance Requirement Met]&lt;&gt;"Requirements Not Met"))/COUNTA(Table1[Name])</f>
        <v>#DIV/0!</v>
      </c>
    </row>
    <row r="23" spans="1:9" x14ac:dyDescent="0.2">
      <c r="A23" s="23"/>
      <c r="B23" s="16"/>
      <c r="C23" s="13" t="e">
        <f>VLOOKUP(A23,Contact!$A:$B,2,)</f>
        <v>#N/A</v>
      </c>
      <c r="D23" s="31">
        <f>_xlfn.XLOOKUP(A23,Department!$A:$A,Department!$B:$B,)</f>
        <v>0</v>
      </c>
      <c r="E23" s="13">
        <f t="shared" si="0"/>
        <v>5</v>
      </c>
      <c r="F23" s="13">
        <f>COUNTIFS('Attendance Log'!A:A,A23,'Attendance Log'!C:C,"Yes")</f>
        <v>0</v>
      </c>
      <c r="G23" s="14">
        <f>Table1[[#This Row],[Actual Days Present]]/Table1[[#This Row],[Total Days Present]]</f>
        <v>0</v>
      </c>
      <c r="H23" s="33" t="str" cm="1">
        <f t="array" ref="H23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3" s="24" t="e" cm="1">
        <f t="array" ref="I23">SUM(--(Table1[Attendance Requirement Met]&lt;&gt;"Requirements Not Met"))/COUNTA(Table1[Name])</f>
        <v>#DIV/0!</v>
      </c>
    </row>
    <row r="24" spans="1:9" x14ac:dyDescent="0.2">
      <c r="A24" s="23"/>
      <c r="B24" s="16"/>
      <c r="C24" s="13" t="e">
        <f>VLOOKUP(A24,Contact!$A:$B,2,)</f>
        <v>#N/A</v>
      </c>
      <c r="D24" s="30">
        <f>_xlfn.XLOOKUP(A24,Department!$A:$A,Department!$B:$B,)</f>
        <v>0</v>
      </c>
      <c r="E24" s="13">
        <f t="shared" si="0"/>
        <v>5</v>
      </c>
      <c r="F24" s="13">
        <f>COUNTIFS('Attendance Log'!A:A,A24,'Attendance Log'!C:C,"Yes")</f>
        <v>0</v>
      </c>
      <c r="G24" s="14">
        <f>Table1[[#This Row],[Actual Days Present]]/Table1[[#This Row],[Total Days Present]]</f>
        <v>0</v>
      </c>
      <c r="H24" s="33" t="str" cm="1">
        <f t="array" ref="H24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4" s="24" t="e" cm="1">
        <f t="array" ref="I24">SUM(--(Table1[Attendance Requirement Met]&lt;&gt;"Requirements Not Met"))/COUNTA(Table1[Name])</f>
        <v>#DIV/0!</v>
      </c>
    </row>
    <row r="25" spans="1:9" x14ac:dyDescent="0.2">
      <c r="A25" s="23"/>
      <c r="B25" s="16"/>
      <c r="C25" s="13" t="e">
        <f>VLOOKUP(A25,Contact!$A:$B,2,)</f>
        <v>#N/A</v>
      </c>
      <c r="D25" s="13">
        <f>_xlfn.XLOOKUP(A25,Department!$A:$A,Department!$B:$B,)</f>
        <v>0</v>
      </c>
      <c r="E25" s="13">
        <f t="shared" si="0"/>
        <v>5</v>
      </c>
      <c r="F25" s="13">
        <f>COUNTIFS('Attendance Log'!A:A,A25,'Attendance Log'!C:C,"Yes")</f>
        <v>0</v>
      </c>
      <c r="G25" s="14">
        <f>Table1[[#This Row],[Actual Days Present]]/Table1[[#This Row],[Total Days Present]]</f>
        <v>0</v>
      </c>
      <c r="H25" s="33" t="str" cm="1">
        <f t="array" ref="H25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5" s="24" t="e" cm="1">
        <f t="array" ref="I25">SUM(--(Table1[Attendance Requirement Met]&lt;&gt;"Requirements Not Met"))/COUNTA(Table1[Name])</f>
        <v>#DIV/0!</v>
      </c>
    </row>
    <row r="26" spans="1:9" x14ac:dyDescent="0.2">
      <c r="A26" s="23"/>
      <c r="B26" s="16"/>
      <c r="C26" s="13" t="e">
        <f>VLOOKUP(A26,Contact!$A:$B,2,)</f>
        <v>#N/A</v>
      </c>
      <c r="D26" s="13">
        <f>_xlfn.XLOOKUP(A26,Department!$A:$A,Department!$B:$B,)</f>
        <v>0</v>
      </c>
      <c r="E26" s="13">
        <f t="shared" si="0"/>
        <v>5</v>
      </c>
      <c r="F26" s="13">
        <f>COUNTIFS('Attendance Log'!A:A,A26,'Attendance Log'!C:C,"Yes")</f>
        <v>0</v>
      </c>
      <c r="G26" s="14">
        <f>Table1[[#This Row],[Actual Days Present]]/Table1[[#This Row],[Total Days Present]]</f>
        <v>0</v>
      </c>
      <c r="H26" s="33" t="str" cm="1">
        <f t="array" ref="H26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6" s="24" t="e" cm="1">
        <f t="array" ref="I26">SUM(--(Table1[Attendance Requirement Met]&lt;&gt;"Requirements Not Met"))/COUNTA(Table1[Name])</f>
        <v>#DIV/0!</v>
      </c>
    </row>
    <row r="27" spans="1:9" x14ac:dyDescent="0.2">
      <c r="A27" s="23"/>
      <c r="B27" s="16"/>
      <c r="C27" s="13" t="e">
        <f>VLOOKUP(A27,Contact!$A:$B,2,)</f>
        <v>#N/A</v>
      </c>
      <c r="D27" s="13">
        <f>_xlfn.XLOOKUP(A27,Department!$A:$A,Department!$B:$B,)</f>
        <v>0</v>
      </c>
      <c r="E27" s="13">
        <f t="shared" si="0"/>
        <v>5</v>
      </c>
      <c r="F27" s="13">
        <f>COUNTIFS('Attendance Log'!A:A,A27,'Attendance Log'!C:C,"Yes")</f>
        <v>0</v>
      </c>
      <c r="G27" s="14">
        <f>Table1[[#This Row],[Actual Days Present]]/Table1[[#This Row],[Total Days Present]]</f>
        <v>0</v>
      </c>
      <c r="H27" s="33" t="str" cm="1">
        <f t="array" ref="H27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7" s="24" t="e" cm="1">
        <f t="array" ref="I27">SUM(--(Table1[Attendance Requirement Met]&lt;&gt;"Requirements Not Met"))/COUNTA(Table1[Name])</f>
        <v>#DIV/0!</v>
      </c>
    </row>
    <row r="28" spans="1:9" x14ac:dyDescent="0.2">
      <c r="A28" s="23"/>
      <c r="B28" s="16"/>
      <c r="C28" s="13" t="e">
        <f>VLOOKUP(A28,Contact!$A:$B,2,)</f>
        <v>#N/A</v>
      </c>
      <c r="D28" s="13">
        <f>_xlfn.XLOOKUP(A28,Department!$A:$A,Department!$B:$B,)</f>
        <v>0</v>
      </c>
      <c r="E28" s="13">
        <f t="shared" si="0"/>
        <v>5</v>
      </c>
      <c r="F28" s="13">
        <f>COUNTIFS('Attendance Log'!A:A,A28,'Attendance Log'!C:C,"Yes")</f>
        <v>0</v>
      </c>
      <c r="G28" s="14">
        <f>Table1[[#This Row],[Actual Days Present]]/Table1[[#This Row],[Total Days Present]]</f>
        <v>0</v>
      </c>
      <c r="H28" s="33" t="str" cm="1">
        <f t="array" ref="H28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8" s="24" t="e" cm="1">
        <f t="array" ref="I28">SUM(--(Table1[Attendance Requirement Met]&lt;&gt;"Requirements Not Met"))/COUNTA(Table1[Name])</f>
        <v>#DIV/0!</v>
      </c>
    </row>
    <row r="29" spans="1:9" x14ac:dyDescent="0.2">
      <c r="A29" s="23"/>
      <c r="B29" s="16"/>
      <c r="C29" s="13" t="e">
        <f>VLOOKUP(A29,Contact!$A:$B,2,)</f>
        <v>#N/A</v>
      </c>
      <c r="D29" s="13">
        <f>_xlfn.XLOOKUP(A29,Department!$A:$A,Department!$B:$B,)</f>
        <v>0</v>
      </c>
      <c r="E29" s="13">
        <f t="shared" si="0"/>
        <v>5</v>
      </c>
      <c r="F29" s="13">
        <f>COUNTIFS('Attendance Log'!A:A,A29,'Attendance Log'!C:C,"Yes")</f>
        <v>0</v>
      </c>
      <c r="G29" s="14">
        <f>Table1[[#This Row],[Actual Days Present]]/Table1[[#This Row],[Total Days Present]]</f>
        <v>0</v>
      </c>
      <c r="H29" s="33" t="str" cm="1">
        <f t="array" ref="H29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29" s="24" t="e" cm="1">
        <f t="array" ref="I29">SUM(--(Table1[Attendance Requirement Met]&lt;&gt;"Requirements Not Met"))/COUNTA(Table1[Name])</f>
        <v>#DIV/0!</v>
      </c>
    </row>
    <row r="30" spans="1:9" x14ac:dyDescent="0.2">
      <c r="A30" s="23"/>
      <c r="B30" s="16"/>
      <c r="C30" s="13" t="e">
        <f>VLOOKUP(A30,Contact!$A:$B,2,)</f>
        <v>#N/A</v>
      </c>
      <c r="D30" s="13">
        <f>_xlfn.XLOOKUP(A30,Department!$A:$A,Department!$B:$B,)</f>
        <v>0</v>
      </c>
      <c r="E30" s="13">
        <f t="shared" si="0"/>
        <v>5</v>
      </c>
      <c r="F30" s="13">
        <f>COUNTIFS('Attendance Log'!A:A,A30,'Attendance Log'!C:C,"Yes")</f>
        <v>0</v>
      </c>
      <c r="G30" s="14">
        <f>Table1[[#This Row],[Actual Days Present]]/Table1[[#This Row],[Total Days Present]]</f>
        <v>0</v>
      </c>
      <c r="H30" s="33" t="str" cm="1">
        <f t="array" ref="H30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0" s="24" t="e" cm="1">
        <f t="array" ref="I30">SUM(--(Table1[Attendance Requirement Met]&lt;&gt;"Requirements Not Met"))/COUNTA(Table1[Name])</f>
        <v>#DIV/0!</v>
      </c>
    </row>
    <row r="31" spans="1:9" x14ac:dyDescent="0.2">
      <c r="A31" s="23"/>
      <c r="B31" s="16"/>
      <c r="C31" s="13" t="e">
        <f>VLOOKUP(A31,Contact!$A:$B,2,)</f>
        <v>#N/A</v>
      </c>
      <c r="D31" s="15">
        <f>_xlfn.XLOOKUP(A31,Department!$A:$A,Department!$B:$B,)</f>
        <v>0</v>
      </c>
      <c r="E31" s="13">
        <f t="shared" si="0"/>
        <v>5</v>
      </c>
      <c r="F31" s="13">
        <f>COUNTIFS('Attendance Log'!A:A,A31,'Attendance Log'!C:C,"Yes")</f>
        <v>0</v>
      </c>
      <c r="G31" s="14">
        <f>Table1[[#This Row],[Actual Days Present]]/Table1[[#This Row],[Total Days Present]]</f>
        <v>0</v>
      </c>
      <c r="H31" s="33" t="str" cm="1">
        <f t="array" ref="H31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1" s="24" t="e" cm="1">
        <f t="array" ref="I31">SUM(--(Table1[Attendance Requirement Met]&lt;&gt;"Requirements Not Met"))/COUNTA(Table1[Name])</f>
        <v>#DIV/0!</v>
      </c>
    </row>
    <row r="32" spans="1:9" x14ac:dyDescent="0.2">
      <c r="A32" s="23"/>
      <c r="B32" s="16"/>
      <c r="C32" s="13" t="e">
        <f>VLOOKUP(A32,Contact!$A:$B,2,)</f>
        <v>#N/A</v>
      </c>
      <c r="D32" s="13">
        <f>_xlfn.XLOOKUP(A32,Department!$A:$A,Department!$B:$B,)</f>
        <v>0</v>
      </c>
      <c r="E32" s="13">
        <f t="shared" si="0"/>
        <v>5</v>
      </c>
      <c r="F32" s="13">
        <f>COUNTIFS('Attendance Log'!A:A,A32,'Attendance Log'!C:C,"Yes")</f>
        <v>0</v>
      </c>
      <c r="G32" s="14">
        <f>Table1[[#This Row],[Actual Days Present]]/Table1[[#This Row],[Total Days Present]]</f>
        <v>0</v>
      </c>
      <c r="H32" s="33" t="str" cm="1">
        <f t="array" ref="H32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2" s="24" t="e" cm="1">
        <f t="array" ref="I32">SUM(--(Table1[Attendance Requirement Met]&lt;&gt;"Requirements Not Met"))/COUNTA(Table1[Name])</f>
        <v>#DIV/0!</v>
      </c>
    </row>
    <row r="33" spans="1:9" x14ac:dyDescent="0.2">
      <c r="A33" s="23"/>
      <c r="B33" s="16"/>
      <c r="C33" s="13" t="e">
        <f>VLOOKUP(A33,Contact!$A:$B,2,)</f>
        <v>#N/A</v>
      </c>
      <c r="D33" s="13">
        <f>_xlfn.XLOOKUP(A33,Department!$A:$A,Department!$B:$B,)</f>
        <v>0</v>
      </c>
      <c r="E33" s="13">
        <f t="shared" si="0"/>
        <v>5</v>
      </c>
      <c r="F33" s="13">
        <f>COUNTIFS('Attendance Log'!A:A,A33,'Attendance Log'!C:C,"Yes")</f>
        <v>0</v>
      </c>
      <c r="G33" s="14">
        <f>Table1[[#This Row],[Actual Days Present]]/Table1[[#This Row],[Total Days Present]]</f>
        <v>0</v>
      </c>
      <c r="H33" s="33" t="str" cm="1">
        <f t="array" ref="H33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3" s="24" t="e" cm="1">
        <f t="array" ref="I33">SUM(--(Table1[Attendance Requirement Met]&lt;&gt;"Requirements Not Met"))/COUNTA(Table1[Name])</f>
        <v>#DIV/0!</v>
      </c>
    </row>
    <row r="34" spans="1:9" x14ac:dyDescent="0.2">
      <c r="A34" s="23"/>
      <c r="B34" s="16"/>
      <c r="C34" s="13" t="e">
        <f>VLOOKUP(A34,Contact!$A:$B,2,)</f>
        <v>#N/A</v>
      </c>
      <c r="D34" s="13">
        <f>_xlfn.XLOOKUP(A34,Department!$A:$A,Department!$B:$B,)</f>
        <v>0</v>
      </c>
      <c r="E34" s="13">
        <f t="shared" si="0"/>
        <v>5</v>
      </c>
      <c r="F34" s="13">
        <f>COUNTIFS('Attendance Log'!A:A,A34,'Attendance Log'!C:C,"Yes")</f>
        <v>0</v>
      </c>
      <c r="G34" s="14">
        <f>Table1[[#This Row],[Actual Days Present]]/Table1[[#This Row],[Total Days Present]]</f>
        <v>0</v>
      </c>
      <c r="H34" s="33" t="str" cm="1">
        <f t="array" ref="H34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4" s="24" t="e" cm="1">
        <f t="array" ref="I34">SUM(--(Table1[Attendance Requirement Met]&lt;&gt;"Requirements Not Met"))/COUNTA(Table1[Name])</f>
        <v>#DIV/0!</v>
      </c>
    </row>
    <row r="35" spans="1:9" x14ac:dyDescent="0.2">
      <c r="A35" s="23"/>
      <c r="B35" s="16"/>
      <c r="C35" s="13" t="e">
        <f>VLOOKUP(A35,Contact!$A:$B,2,)</f>
        <v>#N/A</v>
      </c>
      <c r="D35" s="13">
        <f>_xlfn.XLOOKUP(A35,Department!$A:$A,Department!$B:$B,)</f>
        <v>0</v>
      </c>
      <c r="E35" s="13">
        <f t="shared" ref="E35:E52" si="1">DATE(2025,7,5) - DATE(2025,7,1) + 1</f>
        <v>5</v>
      </c>
      <c r="F35" s="13">
        <f>COUNTIFS('Attendance Log'!A:A,A35,'Attendance Log'!C:C,"Yes")</f>
        <v>0</v>
      </c>
      <c r="G35" s="14">
        <f>Table1[[#This Row],[Actual Days Present]]/Table1[[#This Row],[Total Days Present]]</f>
        <v>0</v>
      </c>
      <c r="H35" s="33" t="str" cm="1">
        <f t="array" ref="H35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5" s="24" t="e" cm="1">
        <f t="array" ref="I35">SUM(--(Table1[Attendance Requirement Met]&lt;&gt;"Requirements Not Met"))/COUNTA(Table1[Name])</f>
        <v>#DIV/0!</v>
      </c>
    </row>
    <row r="36" spans="1:9" x14ac:dyDescent="0.2">
      <c r="A36" s="23"/>
      <c r="B36" s="16"/>
      <c r="C36" s="13" t="e">
        <f>VLOOKUP(A36,Contact!$A:$B,2,)</f>
        <v>#N/A</v>
      </c>
      <c r="D36" s="13">
        <f>_xlfn.XLOOKUP(A36,Department!$A:$A,Department!$B:$B,)</f>
        <v>0</v>
      </c>
      <c r="E36" s="13">
        <f t="shared" si="1"/>
        <v>5</v>
      </c>
      <c r="F36" s="13">
        <f>COUNTIFS('Attendance Log'!A:A,A36,'Attendance Log'!C:C,"Yes")</f>
        <v>0</v>
      </c>
      <c r="G36" s="14">
        <f>Table1[[#This Row],[Actual Days Present]]/Table1[[#This Row],[Total Days Present]]</f>
        <v>0</v>
      </c>
      <c r="H36" s="33" t="str" cm="1">
        <f t="array" ref="H36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6" s="24" t="e" cm="1">
        <f t="array" ref="I36">SUM(--(Table1[Attendance Requirement Met]&lt;&gt;"Requirements Not Met"))/COUNTA(Table1[Name])</f>
        <v>#DIV/0!</v>
      </c>
    </row>
    <row r="37" spans="1:9" x14ac:dyDescent="0.2">
      <c r="A37" s="23"/>
      <c r="B37" s="16"/>
      <c r="C37" s="13" t="e">
        <f>VLOOKUP(A37,Contact!$A:$B,2,)</f>
        <v>#N/A</v>
      </c>
      <c r="D37" s="13">
        <f>_xlfn.XLOOKUP(A37,Department!$A:$A,Department!$B:$B,)</f>
        <v>0</v>
      </c>
      <c r="E37" s="13">
        <f t="shared" si="1"/>
        <v>5</v>
      </c>
      <c r="F37" s="13">
        <f>COUNTIFS('Attendance Log'!A:A,A37,'Attendance Log'!C:C,"Yes")</f>
        <v>0</v>
      </c>
      <c r="G37" s="14">
        <f>Table1[[#This Row],[Actual Days Present]]/Table1[[#This Row],[Total Days Present]]</f>
        <v>0</v>
      </c>
      <c r="H37" s="33" t="str" cm="1">
        <f t="array" ref="H37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7" s="24" t="e" cm="1">
        <f t="array" ref="I37">SUM(--(Table1[Attendance Requirement Met]&lt;&gt;"Requirements Not Met"))/COUNTA(Table1[Name])</f>
        <v>#DIV/0!</v>
      </c>
    </row>
    <row r="38" spans="1:9" x14ac:dyDescent="0.2">
      <c r="A38" s="23"/>
      <c r="B38" s="16"/>
      <c r="C38" s="13" t="e">
        <f>VLOOKUP(A38,Contact!$A:$B,2,)</f>
        <v>#N/A</v>
      </c>
      <c r="D38" s="13">
        <f>_xlfn.XLOOKUP(A38,Department!$A:$A,Department!$B:$B,)</f>
        <v>0</v>
      </c>
      <c r="E38" s="13">
        <f t="shared" si="1"/>
        <v>5</v>
      </c>
      <c r="F38" s="13">
        <f>COUNTIFS('Attendance Log'!A:A,A38,'Attendance Log'!C:C,"Yes")</f>
        <v>0</v>
      </c>
      <c r="G38" s="14">
        <f>Table1[[#This Row],[Actual Days Present]]/Table1[[#This Row],[Total Days Present]]</f>
        <v>0</v>
      </c>
      <c r="H38" s="33" t="str" cm="1">
        <f t="array" ref="H38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8" s="24" t="e" cm="1">
        <f t="array" ref="I38">SUM(--(Table1[Attendance Requirement Met]&lt;&gt;"Requirements Not Met"))/COUNTA(Table1[Name])</f>
        <v>#DIV/0!</v>
      </c>
    </row>
    <row r="39" spans="1:9" x14ac:dyDescent="0.2">
      <c r="A39" s="23"/>
      <c r="B39" s="16"/>
      <c r="C39" s="13" t="e">
        <f>VLOOKUP(A39,Contact!$A:$B,2,)</f>
        <v>#N/A</v>
      </c>
      <c r="D39" s="13">
        <f>_xlfn.XLOOKUP(A39,Department!$A:$A,Department!$B:$B,)</f>
        <v>0</v>
      </c>
      <c r="E39" s="13">
        <f t="shared" si="1"/>
        <v>5</v>
      </c>
      <c r="F39" s="13">
        <f>COUNTIFS('Attendance Log'!A:A,A39,'Attendance Log'!C:C,"Yes")</f>
        <v>0</v>
      </c>
      <c r="G39" s="14">
        <f>Table1[[#This Row],[Actual Days Present]]/Table1[[#This Row],[Total Days Present]]</f>
        <v>0</v>
      </c>
      <c r="H39" s="33" t="str" cm="1">
        <f t="array" ref="H39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39" s="24" t="e" cm="1">
        <f t="array" ref="I39">SUM(--(Table1[Attendance Requirement Met]&lt;&gt;"Requirements Not Met"))/COUNTA(Table1[Name])</f>
        <v>#DIV/0!</v>
      </c>
    </row>
    <row r="40" spans="1:9" x14ac:dyDescent="0.2">
      <c r="A40" s="23"/>
      <c r="B40" s="16"/>
      <c r="C40" s="13" t="e">
        <f>VLOOKUP(A40,Contact!$A:$B,2,)</f>
        <v>#N/A</v>
      </c>
      <c r="D40" s="13">
        <f>_xlfn.XLOOKUP(A40,Department!$A:$A,Department!$B:$B,)</f>
        <v>0</v>
      </c>
      <c r="E40" s="13">
        <f t="shared" si="1"/>
        <v>5</v>
      </c>
      <c r="F40" s="13">
        <f>COUNTIFS('Attendance Log'!A:A,A40,'Attendance Log'!C:C,"Yes")</f>
        <v>0</v>
      </c>
      <c r="G40" s="14">
        <f>Table1[[#This Row],[Actual Days Present]]/Table1[[#This Row],[Total Days Present]]</f>
        <v>0</v>
      </c>
      <c r="H40" s="33" t="str" cm="1">
        <f t="array" ref="H40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0" s="24" t="e" cm="1">
        <f t="array" ref="I40">SUM(--(Table1[Attendance Requirement Met]&lt;&gt;"Requirements Not Met"))/COUNTA(Table1[Name])</f>
        <v>#DIV/0!</v>
      </c>
    </row>
    <row r="41" spans="1:9" x14ac:dyDescent="0.2">
      <c r="A41" s="23"/>
      <c r="B41" s="16"/>
      <c r="C41" s="13" t="e">
        <f>VLOOKUP(A41,Contact!$A:$B,2,)</f>
        <v>#N/A</v>
      </c>
      <c r="D41" s="15">
        <f>_xlfn.XLOOKUP(A41,Department!$A:$A,Department!$B:$B,)</f>
        <v>0</v>
      </c>
      <c r="E41" s="13">
        <f t="shared" si="1"/>
        <v>5</v>
      </c>
      <c r="F41" s="13">
        <f>COUNTIFS('Attendance Log'!A:A,A41,'Attendance Log'!C:C,"Yes")</f>
        <v>0</v>
      </c>
      <c r="G41" s="14">
        <f>Table1[[#This Row],[Actual Days Present]]/Table1[[#This Row],[Total Days Present]]</f>
        <v>0</v>
      </c>
      <c r="H41" s="33" t="str" cm="1">
        <f t="array" ref="H41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1" s="24" t="e" cm="1">
        <f t="array" ref="I41">SUM(--(Table1[Attendance Requirement Met]&lt;&gt;"Requirements Not Met"))/COUNTA(Table1[Name])</f>
        <v>#DIV/0!</v>
      </c>
    </row>
    <row r="42" spans="1:9" x14ac:dyDescent="0.2">
      <c r="A42" s="23"/>
      <c r="B42" s="16"/>
      <c r="C42" s="13" t="e">
        <f>VLOOKUP(A42,Contact!$A:$B,2,)</f>
        <v>#N/A</v>
      </c>
      <c r="D42" s="13">
        <f>_xlfn.XLOOKUP(A42,Department!$A:$A,Department!$B:$B,)</f>
        <v>0</v>
      </c>
      <c r="E42" s="13">
        <f t="shared" si="1"/>
        <v>5</v>
      </c>
      <c r="F42" s="13">
        <f>COUNTIFS('Attendance Log'!A:A,A42,'Attendance Log'!C:C,"Yes")</f>
        <v>0</v>
      </c>
      <c r="G42" s="14">
        <f>Table1[[#This Row],[Actual Days Present]]/Table1[[#This Row],[Total Days Present]]</f>
        <v>0</v>
      </c>
      <c r="H42" s="33" t="str" cm="1">
        <f t="array" ref="H42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2" s="24" t="e" cm="1">
        <f t="array" ref="I42">SUM(--(Table1[Attendance Requirement Met]&lt;&gt;"Requirements Not Met"))/COUNTA(Table1[Name])</f>
        <v>#DIV/0!</v>
      </c>
    </row>
    <row r="43" spans="1:9" x14ac:dyDescent="0.2">
      <c r="A43" s="23"/>
      <c r="B43" s="16"/>
      <c r="C43" s="13" t="e">
        <f>VLOOKUP(A43,Contact!$A:$B,2,)</f>
        <v>#N/A</v>
      </c>
      <c r="D43" s="13">
        <f>_xlfn.XLOOKUP(A43,Department!$A:$A,Department!$B:$B,)</f>
        <v>0</v>
      </c>
      <c r="E43" s="13">
        <f t="shared" si="1"/>
        <v>5</v>
      </c>
      <c r="F43" s="13">
        <f>COUNTIFS('Attendance Log'!A:A,A43,'Attendance Log'!C:C,"Yes")</f>
        <v>0</v>
      </c>
      <c r="G43" s="14">
        <f>Table1[[#This Row],[Actual Days Present]]/Table1[[#This Row],[Total Days Present]]</f>
        <v>0</v>
      </c>
      <c r="H43" s="33" t="str" cm="1">
        <f t="array" ref="H43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3" s="24" t="e" cm="1">
        <f t="array" ref="I43">SUM(--(Table1[Attendance Requirement Met]&lt;&gt;"Requirements Not Met"))/COUNTA(Table1[Name])</f>
        <v>#DIV/0!</v>
      </c>
    </row>
    <row r="44" spans="1:9" x14ac:dyDescent="0.2">
      <c r="A44" s="23"/>
      <c r="B44" s="16"/>
      <c r="C44" s="13" t="e">
        <f>VLOOKUP(A44,Contact!$A:$B,2,)</f>
        <v>#N/A</v>
      </c>
      <c r="D44" s="13">
        <f>_xlfn.XLOOKUP(A44,Department!$A:$A,Department!$B:$B,)</f>
        <v>0</v>
      </c>
      <c r="E44" s="13">
        <f t="shared" si="1"/>
        <v>5</v>
      </c>
      <c r="F44" s="13">
        <f>COUNTIFS('Attendance Log'!A:A,A44,'Attendance Log'!C:C,"Yes")</f>
        <v>0</v>
      </c>
      <c r="G44" s="14">
        <f>Table1[[#This Row],[Actual Days Present]]/Table1[[#This Row],[Total Days Present]]</f>
        <v>0</v>
      </c>
      <c r="H44" s="33" t="str" cm="1">
        <f t="array" ref="H44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4" s="24" t="e" cm="1">
        <f t="array" ref="I44">SUM(--(Table1[Attendance Requirement Met]&lt;&gt;"Requirements Not Met"))/COUNTA(Table1[Name])</f>
        <v>#DIV/0!</v>
      </c>
    </row>
    <row r="45" spans="1:9" x14ac:dyDescent="0.2">
      <c r="A45" s="23"/>
      <c r="B45" s="16"/>
      <c r="C45" s="13" t="e">
        <f>VLOOKUP(A45,Contact!$A:$B,2,)</f>
        <v>#N/A</v>
      </c>
      <c r="D45" s="13">
        <f>_xlfn.XLOOKUP(A45,Department!$A:$A,Department!$B:$B,)</f>
        <v>0</v>
      </c>
      <c r="E45" s="13">
        <f t="shared" si="1"/>
        <v>5</v>
      </c>
      <c r="F45" s="13">
        <f>COUNTIFS('Attendance Log'!A:A,A45,'Attendance Log'!C:C,"Yes")</f>
        <v>0</v>
      </c>
      <c r="G45" s="14">
        <f>Table1[[#This Row],[Actual Days Present]]/Table1[[#This Row],[Total Days Present]]</f>
        <v>0</v>
      </c>
      <c r="H45" s="33" t="str" cm="1">
        <f t="array" ref="H45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5" s="24" t="e" cm="1">
        <f t="array" ref="I45">SUM(--(Table1[Attendance Requirement Met]&lt;&gt;"Requirements Not Met"))/COUNTA(Table1[Name])</f>
        <v>#DIV/0!</v>
      </c>
    </row>
    <row r="46" spans="1:9" x14ac:dyDescent="0.2">
      <c r="A46" s="23"/>
      <c r="B46" s="16"/>
      <c r="C46" s="13" t="e">
        <f>VLOOKUP(A46,Contact!$A:$B,2,)</f>
        <v>#N/A</v>
      </c>
      <c r="D46" s="13">
        <f>_xlfn.XLOOKUP(A46,Department!$A:$A,Department!$B:$B,)</f>
        <v>0</v>
      </c>
      <c r="E46" s="13">
        <f t="shared" si="1"/>
        <v>5</v>
      </c>
      <c r="F46" s="13">
        <f>COUNTIFS('Attendance Log'!A:A,A46,'Attendance Log'!C:C,"Yes")</f>
        <v>0</v>
      </c>
      <c r="G46" s="14">
        <f>Table1[[#This Row],[Actual Days Present]]/Table1[[#This Row],[Total Days Present]]</f>
        <v>0</v>
      </c>
      <c r="H46" s="33" t="str" cm="1">
        <f t="array" ref="H46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6" s="24" t="e" cm="1">
        <f t="array" ref="I46">SUM(--(Table1[Attendance Requirement Met]&lt;&gt;"Requirements Not Met"))/COUNTA(Table1[Name])</f>
        <v>#DIV/0!</v>
      </c>
    </row>
    <row r="47" spans="1:9" x14ac:dyDescent="0.2">
      <c r="A47" s="23"/>
      <c r="B47" s="16"/>
      <c r="C47" s="13" t="e">
        <f>VLOOKUP(A47,Contact!$A:$B,2,)</f>
        <v>#N/A</v>
      </c>
      <c r="D47" s="13">
        <f>_xlfn.XLOOKUP(A47,Department!$A:$A,Department!$B:$B,)</f>
        <v>0</v>
      </c>
      <c r="E47" s="13">
        <f t="shared" si="1"/>
        <v>5</v>
      </c>
      <c r="F47" s="13">
        <f>COUNTIFS('Attendance Log'!A:A,A47,'Attendance Log'!C:C,"Yes")</f>
        <v>0</v>
      </c>
      <c r="G47" s="14">
        <f>Table1[[#This Row],[Actual Days Present]]/Table1[[#This Row],[Total Days Present]]</f>
        <v>0</v>
      </c>
      <c r="H47" s="33" t="str" cm="1">
        <f t="array" ref="H47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7" s="24" t="e" cm="1">
        <f t="array" ref="I47">SUM(--(Table1[Attendance Requirement Met]&lt;&gt;"Requirements Not Met"))/COUNTA(Table1[Name])</f>
        <v>#DIV/0!</v>
      </c>
    </row>
    <row r="48" spans="1:9" x14ac:dyDescent="0.2">
      <c r="A48" s="23"/>
      <c r="B48" s="16"/>
      <c r="C48" s="13" t="e">
        <f>VLOOKUP(A48,Contact!$A:$B,2,)</f>
        <v>#N/A</v>
      </c>
      <c r="D48" s="13">
        <f>_xlfn.XLOOKUP(A48,Department!$A:$A,Department!$B:$B,)</f>
        <v>0</v>
      </c>
      <c r="E48" s="13">
        <f t="shared" si="1"/>
        <v>5</v>
      </c>
      <c r="F48" s="13">
        <f>COUNTIFS('Attendance Log'!A:A,A48,'Attendance Log'!C:C,"Yes")</f>
        <v>0</v>
      </c>
      <c r="G48" s="14">
        <f>Table1[[#This Row],[Actual Days Present]]/Table1[[#This Row],[Total Days Present]]</f>
        <v>0</v>
      </c>
      <c r="H48" s="33" t="str" cm="1">
        <f t="array" ref="H48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8" s="24" t="e" cm="1">
        <f t="array" ref="I48">SUM(--(Table1[Attendance Requirement Met]&lt;&gt;"Requirements Not Met"))/COUNTA(Table1[Name])</f>
        <v>#DIV/0!</v>
      </c>
    </row>
    <row r="49" spans="1:9" x14ac:dyDescent="0.2">
      <c r="A49" s="23"/>
      <c r="B49" s="16"/>
      <c r="C49" s="13" t="e">
        <f>VLOOKUP(A49,Contact!$A:$B,2,)</f>
        <v>#N/A</v>
      </c>
      <c r="D49" s="13">
        <f>_xlfn.XLOOKUP(A49,Department!$A:$A,Department!$B:$B,)</f>
        <v>0</v>
      </c>
      <c r="E49" s="13">
        <f t="shared" si="1"/>
        <v>5</v>
      </c>
      <c r="F49" s="13">
        <f>COUNTIFS('Attendance Log'!A:A,A49,'Attendance Log'!C:C,"Yes")</f>
        <v>0</v>
      </c>
      <c r="G49" s="14">
        <f>Table1[[#This Row],[Actual Days Present]]/Table1[[#This Row],[Total Days Present]]</f>
        <v>0</v>
      </c>
      <c r="H49" s="33" t="str" cm="1">
        <f t="array" ref="H49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49" s="24" t="e" cm="1">
        <f t="array" ref="I49">SUM(--(Table1[Attendance Requirement Met]&lt;&gt;"Requirements Not Met"))/COUNTA(Table1[Name])</f>
        <v>#DIV/0!</v>
      </c>
    </row>
    <row r="50" spans="1:9" x14ac:dyDescent="0.2">
      <c r="A50" s="23"/>
      <c r="B50" s="16"/>
      <c r="C50" s="13" t="e">
        <f>VLOOKUP(A50,Contact!$A:$B,2,)</f>
        <v>#N/A</v>
      </c>
      <c r="D50" s="13">
        <f>_xlfn.XLOOKUP(A50,Department!$A:$A,Department!$B:$B,)</f>
        <v>0</v>
      </c>
      <c r="E50" s="13">
        <f t="shared" si="1"/>
        <v>5</v>
      </c>
      <c r="F50" s="13">
        <f>COUNTIFS('Attendance Log'!A:A,A50,'Attendance Log'!C:C,"Yes")</f>
        <v>0</v>
      </c>
      <c r="G50" s="14">
        <f>Table1[[#This Row],[Actual Days Present]]/Table1[[#This Row],[Total Days Present]]</f>
        <v>0</v>
      </c>
      <c r="H50" s="33" t="str" cm="1">
        <f t="array" ref="H50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50" s="24" t="e" cm="1">
        <f t="array" ref="I50">SUM(--(Table1[Attendance Requirement Met]&lt;&gt;"Requirements Not Met"))/COUNTA(Table1[Name])</f>
        <v>#DIV/0!</v>
      </c>
    </row>
    <row r="51" spans="1:9" x14ac:dyDescent="0.2">
      <c r="A51" s="23"/>
      <c r="B51" s="16"/>
      <c r="C51" s="13" t="e">
        <f>VLOOKUP(A51,Contact!$A:$B,2,)</f>
        <v>#N/A</v>
      </c>
      <c r="D51" s="15">
        <f>_xlfn.XLOOKUP(A51,Department!$A:$A,Department!$B:$B,)</f>
        <v>0</v>
      </c>
      <c r="E51" s="13">
        <f t="shared" si="1"/>
        <v>5</v>
      </c>
      <c r="F51" s="13">
        <f>COUNTIFS('Attendance Log'!A:A,A51,'Attendance Log'!C:C,"Yes")</f>
        <v>0</v>
      </c>
      <c r="G51" s="14">
        <f>Table1[[#This Row],[Actual Days Present]]/Table1[[#This Row],[Total Days Present]]</f>
        <v>0</v>
      </c>
      <c r="H51" s="33" t="str" cm="1">
        <f t="array" ref="H51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51" s="24" t="e" cm="1">
        <f t="array" ref="I51">SUM(--(Table1[Attendance Requirement Met]&lt;&gt;"Requirements Not Met"))/COUNTA(Table1[Name])</f>
        <v>#DIV/0!</v>
      </c>
    </row>
    <row r="52" spans="1:9" x14ac:dyDescent="0.2">
      <c r="A52" s="25"/>
      <c r="B52" s="26"/>
      <c r="C52" s="27" t="e">
        <f>VLOOKUP(A52,Contact!$A:$B,2,)</f>
        <v>#N/A</v>
      </c>
      <c r="D52" s="27">
        <f>_xlfn.XLOOKUP(A52,Department!$A:$A,Department!$B:$B,)</f>
        <v>0</v>
      </c>
      <c r="E52" s="27">
        <f t="shared" si="1"/>
        <v>5</v>
      </c>
      <c r="F52" s="27">
        <f>COUNTIFS('Attendance Log'!A:A,A52,'Attendance Log'!C:C,"Yes")</f>
        <v>0</v>
      </c>
      <c r="G52" s="28">
        <f>Table1[[#This Row],[Actual Days Present]]/Table1[[#This Row],[Total Days Present]]</f>
        <v>0</v>
      </c>
      <c r="H52" s="34" t="str" cm="1">
        <f t="array" ref="H52">_xlfn.IFS(Table1[[#This Row],[Attendance Percentage]]&gt;=80%,"A (Marketing), B (Sales), C (HR)",Table1[[#This Row],[Attendance Percentage]]&gt;=40%,"D (IT), E (Finance)",Table1[[#This Row],[Attendance Percentage]]&lt;40%,"Requirements Not Met")</f>
        <v>Requirements Not Met</v>
      </c>
      <c r="I52" s="29" t="e" cm="1">
        <f t="array" ref="I52">SUM(--(Table1[Attendance Requirement Met]&lt;&gt;"Requirements Not Met"))/COUNTA(Table1[Name])</f>
        <v>#DIV/0!</v>
      </c>
    </row>
  </sheetData>
  <conditionalFormatting sqref="A3:A52">
    <cfRule type="duplicateValues" dxfId="6" priority="4"/>
  </conditionalFormatting>
  <conditionalFormatting sqref="D3:D52">
    <cfRule type="containsText" dxfId="5" priority="9" operator="containsText" text="Marketing">
      <formula>NOT(ISERROR(SEARCH("Marketing",D3)))</formula>
    </cfRule>
    <cfRule type="containsText" dxfId="4" priority="10" operator="containsText" text="Finance">
      <formula>NOT(ISERROR(SEARCH("Finance",D3)))</formula>
    </cfRule>
    <cfRule type="containsText" dxfId="3" priority="11" operator="containsText" text="Sales">
      <formula>NOT(ISERROR(SEARCH("Sales",D3)))</formula>
    </cfRule>
    <cfRule type="containsText" dxfId="2" priority="12" operator="containsText" text="HR">
      <formula>NOT(ISERROR(SEARCH("HR",D3)))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D03-FFA4-9947-BBF3-82A58D677810}">
  <dimension ref="A1:B1007"/>
  <sheetViews>
    <sheetView workbookViewId="0">
      <selection activeCell="B8" sqref="B8"/>
    </sheetView>
  </sheetViews>
  <sheetFormatPr baseColWidth="10" defaultColWidth="14.5" defaultRowHeight="16" x14ac:dyDescent="0.2"/>
  <cols>
    <col min="1" max="2" width="27.33203125" customWidth="1"/>
    <col min="3" max="26" width="8.83203125" customWidth="1"/>
  </cols>
  <sheetData>
    <row r="1" spans="1:2" x14ac:dyDescent="0.2">
      <c r="A1" s="2" t="s">
        <v>0</v>
      </c>
      <c r="B1" s="2" t="s">
        <v>6</v>
      </c>
    </row>
    <row r="2" spans="1:2" x14ac:dyDescent="0.2">
      <c r="A2" s="1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ht="15.75" customHeight="1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ht="15.75" customHeight="1" x14ac:dyDescent="0.2">
      <c r="A25" s="1"/>
      <c r="B25" s="1"/>
    </row>
    <row r="26" spans="1:2" ht="15.75" customHeight="1" x14ac:dyDescent="0.2">
      <c r="A26" s="1"/>
      <c r="B26" s="1"/>
    </row>
    <row r="27" spans="1:2" ht="15.75" customHeight="1" x14ac:dyDescent="0.2">
      <c r="A27" s="1"/>
      <c r="B27" s="1"/>
    </row>
    <row r="28" spans="1:2" ht="15.75" customHeight="1" x14ac:dyDescent="0.2">
      <c r="A28" s="1"/>
      <c r="B28" s="1"/>
    </row>
    <row r="29" spans="1:2" ht="15.75" customHeight="1" x14ac:dyDescent="0.2">
      <c r="A29" s="1"/>
      <c r="B29" s="1"/>
    </row>
    <row r="30" spans="1:2" ht="15.75" customHeight="1" x14ac:dyDescent="0.2">
      <c r="A30" s="1"/>
      <c r="B30" s="1"/>
    </row>
    <row r="31" spans="1:2" ht="15.75" customHeight="1" x14ac:dyDescent="0.2">
      <c r="A31" s="1"/>
      <c r="B31" s="1"/>
    </row>
    <row r="32" spans="1:2" ht="15.75" customHeight="1" x14ac:dyDescent="0.2">
      <c r="A32" s="1"/>
      <c r="B32" s="1"/>
    </row>
    <row r="33" spans="1:2" ht="15.75" customHeight="1" x14ac:dyDescent="0.2">
      <c r="A33" s="1"/>
      <c r="B33" s="1"/>
    </row>
    <row r="34" spans="1:2" ht="15.75" customHeight="1" x14ac:dyDescent="0.2">
      <c r="A34" s="1"/>
      <c r="B34" s="1"/>
    </row>
    <row r="35" spans="1:2" ht="15.75" customHeight="1" x14ac:dyDescent="0.2">
      <c r="A35" s="1"/>
      <c r="B35" s="1"/>
    </row>
    <row r="36" spans="1:2" ht="15.75" customHeight="1" x14ac:dyDescent="0.2">
      <c r="A36" s="1"/>
      <c r="B36" s="1"/>
    </row>
    <row r="37" spans="1:2" ht="15.75" customHeight="1" x14ac:dyDescent="0.2">
      <c r="A37" s="1"/>
      <c r="B37" s="1"/>
    </row>
    <row r="38" spans="1:2" ht="15.75" customHeight="1" x14ac:dyDescent="0.2">
      <c r="A38" s="1"/>
      <c r="B38" s="1"/>
    </row>
    <row r="39" spans="1:2" ht="15.75" customHeight="1" x14ac:dyDescent="0.2">
      <c r="A39" s="1"/>
      <c r="B39" s="1"/>
    </row>
    <row r="40" spans="1:2" ht="15.75" customHeight="1" x14ac:dyDescent="0.2">
      <c r="A40" s="1"/>
      <c r="B40" s="1"/>
    </row>
    <row r="41" spans="1:2" ht="15.75" customHeight="1" x14ac:dyDescent="0.2">
      <c r="A41" s="1"/>
      <c r="B41" s="1"/>
    </row>
    <row r="42" spans="1:2" ht="15.75" customHeight="1" x14ac:dyDescent="0.2">
      <c r="A42" s="1"/>
      <c r="B42" s="1"/>
    </row>
    <row r="43" spans="1:2" ht="15.75" customHeight="1" x14ac:dyDescent="0.2">
      <c r="A43" s="1"/>
      <c r="B43" s="1"/>
    </row>
    <row r="44" spans="1:2" ht="15.75" customHeight="1" x14ac:dyDescent="0.2">
      <c r="A44" s="1"/>
      <c r="B44" s="1"/>
    </row>
    <row r="45" spans="1:2" ht="15.75" customHeight="1" x14ac:dyDescent="0.2">
      <c r="A45" s="1"/>
      <c r="B45" s="1"/>
    </row>
    <row r="46" spans="1:2" ht="15.75" customHeight="1" x14ac:dyDescent="0.2">
      <c r="A46" s="1"/>
      <c r="B46" s="1"/>
    </row>
    <row r="47" spans="1:2" ht="15.75" customHeight="1" x14ac:dyDescent="0.2">
      <c r="A47" s="1"/>
      <c r="B47" s="1"/>
    </row>
    <row r="48" spans="1:2" ht="15.75" customHeight="1" x14ac:dyDescent="0.2">
      <c r="A48" s="1"/>
      <c r="B48" s="1"/>
    </row>
    <row r="49" spans="1:2" ht="15.75" customHeight="1" x14ac:dyDescent="0.2">
      <c r="A49" s="1"/>
      <c r="B49" s="1"/>
    </row>
    <row r="50" spans="1:2" ht="15.75" customHeight="1" x14ac:dyDescent="0.2">
      <c r="A50" s="1"/>
      <c r="B50" s="1"/>
    </row>
    <row r="51" spans="1:2" ht="15.75" customHeight="1" x14ac:dyDescent="0.2">
      <c r="A51" s="1"/>
      <c r="B51" s="1"/>
    </row>
    <row r="52" spans="1:2" ht="15.75" customHeight="1" x14ac:dyDescent="0.2">
      <c r="A52" s="1"/>
      <c r="B52" s="1"/>
    </row>
    <row r="53" spans="1:2" ht="15.75" customHeight="1" x14ac:dyDescent="0.2">
      <c r="A53" s="1"/>
      <c r="B53" s="1"/>
    </row>
    <row r="54" spans="1:2" ht="15.75" customHeight="1" x14ac:dyDescent="0.2">
      <c r="A54" s="1"/>
      <c r="B54" s="1"/>
    </row>
    <row r="55" spans="1:2" ht="15.75" customHeight="1" x14ac:dyDescent="0.2">
      <c r="A55" s="1"/>
      <c r="B55" s="1"/>
    </row>
    <row r="56" spans="1:2" ht="15.75" customHeight="1" x14ac:dyDescent="0.2">
      <c r="A56" s="1"/>
      <c r="B56" s="1"/>
    </row>
    <row r="57" spans="1:2" ht="15.75" customHeight="1" x14ac:dyDescent="0.2">
      <c r="A57" s="1"/>
      <c r="B57" s="1"/>
    </row>
    <row r="58" spans="1:2" ht="15.75" customHeight="1" x14ac:dyDescent="0.2">
      <c r="A58" s="1"/>
      <c r="B58" s="1"/>
    </row>
    <row r="59" spans="1:2" ht="15.75" customHeight="1" x14ac:dyDescent="0.2"/>
    <row r="60" spans="1:2" ht="15.75" customHeight="1" x14ac:dyDescent="0.2"/>
    <row r="61" spans="1:2" ht="15.75" customHeight="1" x14ac:dyDescent="0.2"/>
    <row r="62" spans="1:2" ht="15.75" customHeight="1" x14ac:dyDescent="0.2"/>
    <row r="63" spans="1:2" ht="15.75" customHeight="1" x14ac:dyDescent="0.2"/>
    <row r="64" spans="1:2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82828-864C-4941-BC7A-11E5DEE45E89}">
  <dimension ref="A1:E1000"/>
  <sheetViews>
    <sheetView workbookViewId="0">
      <selection activeCell="D13" sqref="D13"/>
    </sheetView>
  </sheetViews>
  <sheetFormatPr baseColWidth="10" defaultColWidth="14.5" defaultRowHeight="16" x14ac:dyDescent="0.2"/>
  <cols>
    <col min="1" max="1" width="10.33203125" customWidth="1"/>
    <col min="2" max="2" width="10.6640625" customWidth="1"/>
    <col min="3" max="3" width="8.83203125" customWidth="1"/>
    <col min="4" max="4" width="11" bestFit="1" customWidth="1"/>
    <col min="5" max="5" width="6" bestFit="1" customWidth="1"/>
    <col min="6" max="26" width="8.83203125" customWidth="1"/>
  </cols>
  <sheetData>
    <row r="1" spans="1:5" x14ac:dyDescent="0.2">
      <c r="A1" s="2" t="s">
        <v>0</v>
      </c>
      <c r="B1" s="2" t="s">
        <v>7</v>
      </c>
      <c r="D1" s="3" t="s">
        <v>8</v>
      </c>
      <c r="E1" s="1"/>
    </row>
    <row r="2" spans="1:5" x14ac:dyDescent="0.2">
      <c r="A2" s="1"/>
      <c r="B2" s="1"/>
      <c r="D2" s="4" t="s">
        <v>10</v>
      </c>
      <c r="E2" s="4" t="s">
        <v>11</v>
      </c>
    </row>
    <row r="3" spans="1:5" x14ac:dyDescent="0.2">
      <c r="A3" s="1"/>
      <c r="B3" s="1"/>
      <c r="D3" s="1" t="s">
        <v>9</v>
      </c>
      <c r="E3" s="1" t="s">
        <v>13</v>
      </c>
    </row>
    <row r="4" spans="1:5" x14ac:dyDescent="0.2">
      <c r="A4" s="1"/>
      <c r="B4" s="1"/>
      <c r="D4" s="1" t="s">
        <v>12</v>
      </c>
      <c r="E4" s="1" t="s">
        <v>15</v>
      </c>
    </row>
    <row r="5" spans="1:5" x14ac:dyDescent="0.2">
      <c r="A5" s="1"/>
      <c r="B5" s="1"/>
      <c r="D5" s="1" t="s">
        <v>14</v>
      </c>
      <c r="E5" s="1" t="s">
        <v>17</v>
      </c>
    </row>
    <row r="6" spans="1:5" x14ac:dyDescent="0.2">
      <c r="A6" s="1"/>
      <c r="B6" s="1"/>
      <c r="D6" s="1" t="s">
        <v>16</v>
      </c>
      <c r="E6" s="1" t="s">
        <v>19</v>
      </c>
    </row>
    <row r="7" spans="1:5" x14ac:dyDescent="0.2">
      <c r="A7" s="1"/>
      <c r="B7" s="1"/>
      <c r="D7" s="1" t="s">
        <v>18</v>
      </c>
      <c r="E7" s="1" t="s">
        <v>20</v>
      </c>
    </row>
    <row r="8" spans="1:5" x14ac:dyDescent="0.2">
      <c r="A8" s="1"/>
      <c r="B8" s="1"/>
      <c r="D8" s="1"/>
      <c r="E8" s="1"/>
    </row>
    <row r="9" spans="1:5" x14ac:dyDescent="0.2">
      <c r="A9" s="1"/>
      <c r="B9" s="1"/>
      <c r="D9" s="1"/>
      <c r="E9" s="1"/>
    </row>
    <row r="10" spans="1:5" x14ac:dyDescent="0.2">
      <c r="A10" s="1"/>
      <c r="B10" s="1"/>
    </row>
    <row r="11" spans="1:5" x14ac:dyDescent="0.2">
      <c r="A11" s="1"/>
      <c r="B11" s="1"/>
    </row>
    <row r="12" spans="1:5" x14ac:dyDescent="0.2">
      <c r="A12" s="1"/>
      <c r="B12" s="1"/>
    </row>
    <row r="13" spans="1:5" x14ac:dyDescent="0.2">
      <c r="A13" s="1"/>
      <c r="B13" s="1"/>
    </row>
    <row r="14" spans="1:5" x14ac:dyDescent="0.2">
      <c r="A14" s="1"/>
      <c r="B14" s="1"/>
    </row>
    <row r="15" spans="1:5" x14ac:dyDescent="0.2">
      <c r="A15" s="1"/>
      <c r="B15" s="1"/>
    </row>
    <row r="16" spans="1:5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ht="15.75" customHeight="1" x14ac:dyDescent="0.2">
      <c r="A21" s="1"/>
      <c r="B21" s="1"/>
    </row>
    <row r="22" spans="1:2" ht="15.75" customHeight="1" x14ac:dyDescent="0.2">
      <c r="A22" s="1"/>
      <c r="B22" s="1"/>
    </row>
    <row r="23" spans="1:2" ht="15.75" customHeight="1" x14ac:dyDescent="0.2">
      <c r="A23" s="1"/>
      <c r="B23" s="1"/>
    </row>
    <row r="24" spans="1:2" ht="15.75" customHeight="1" x14ac:dyDescent="0.2">
      <c r="A24" s="1"/>
      <c r="B24" s="1"/>
    </row>
    <row r="25" spans="1:2" ht="15.75" customHeight="1" x14ac:dyDescent="0.2">
      <c r="A25" s="1"/>
      <c r="B25" s="1"/>
    </row>
    <row r="26" spans="1:2" ht="15.75" customHeight="1" x14ac:dyDescent="0.2">
      <c r="A26" s="1"/>
      <c r="B26" s="1"/>
    </row>
    <row r="27" spans="1:2" ht="15.75" customHeight="1" x14ac:dyDescent="0.2">
      <c r="A27" s="1"/>
      <c r="B27" s="1"/>
    </row>
    <row r="28" spans="1:2" ht="15.75" customHeight="1" x14ac:dyDescent="0.2">
      <c r="A28" s="1"/>
      <c r="B28" s="1"/>
    </row>
    <row r="29" spans="1:2" ht="15.75" customHeight="1" x14ac:dyDescent="0.2">
      <c r="A29" s="1"/>
      <c r="B29" s="1"/>
    </row>
    <row r="30" spans="1:2" ht="15.75" customHeight="1" x14ac:dyDescent="0.2">
      <c r="A30" s="1"/>
      <c r="B30" s="1"/>
    </row>
    <row r="31" spans="1:2" ht="15.75" customHeight="1" x14ac:dyDescent="0.2">
      <c r="A31" s="1"/>
      <c r="B31" s="1"/>
    </row>
    <row r="32" spans="1:2" ht="15.75" customHeight="1" x14ac:dyDescent="0.2">
      <c r="A32" s="1"/>
      <c r="B32" s="1"/>
    </row>
    <row r="33" spans="1:2" ht="15.75" customHeight="1" x14ac:dyDescent="0.2">
      <c r="A33" s="1"/>
      <c r="B33" s="1"/>
    </row>
    <row r="34" spans="1:2" ht="15.75" customHeight="1" x14ac:dyDescent="0.2">
      <c r="A34" s="1"/>
      <c r="B34" s="1"/>
    </row>
    <row r="35" spans="1:2" ht="15.75" customHeight="1" x14ac:dyDescent="0.2">
      <c r="A35" s="1"/>
      <c r="B35" s="1"/>
    </row>
    <row r="36" spans="1:2" ht="15.75" customHeight="1" x14ac:dyDescent="0.2">
      <c r="A36" s="1"/>
      <c r="B36" s="1"/>
    </row>
    <row r="37" spans="1:2" ht="15.75" customHeight="1" x14ac:dyDescent="0.2">
      <c r="A37" s="1"/>
      <c r="B37" s="1"/>
    </row>
    <row r="38" spans="1:2" ht="15.75" customHeight="1" x14ac:dyDescent="0.2">
      <c r="A38" s="1"/>
      <c r="B38" s="1"/>
    </row>
    <row r="39" spans="1:2" ht="15.75" customHeight="1" x14ac:dyDescent="0.2">
      <c r="A39" s="1"/>
      <c r="B39" s="1"/>
    </row>
    <row r="40" spans="1:2" ht="15.75" customHeight="1" x14ac:dyDescent="0.2">
      <c r="A40" s="1"/>
      <c r="B40" s="1"/>
    </row>
    <row r="41" spans="1:2" ht="15.75" customHeight="1" x14ac:dyDescent="0.2">
      <c r="A41" s="1"/>
      <c r="B41" s="1"/>
    </row>
    <row r="42" spans="1:2" ht="15.75" customHeight="1" x14ac:dyDescent="0.2">
      <c r="A42" s="1"/>
      <c r="B42" s="1"/>
    </row>
    <row r="43" spans="1:2" ht="15.75" customHeight="1" x14ac:dyDescent="0.2">
      <c r="A43" s="1"/>
      <c r="B43" s="1"/>
    </row>
    <row r="44" spans="1:2" ht="15.75" customHeight="1" x14ac:dyDescent="0.2">
      <c r="A44" s="1"/>
      <c r="B44" s="1"/>
    </row>
    <row r="45" spans="1:2" ht="15.75" customHeight="1" x14ac:dyDescent="0.2">
      <c r="A45" s="1"/>
      <c r="B45" s="1"/>
    </row>
    <row r="46" spans="1:2" ht="15.75" customHeight="1" x14ac:dyDescent="0.2">
      <c r="A46" s="1"/>
      <c r="B46" s="1"/>
    </row>
    <row r="47" spans="1:2" ht="15.75" customHeight="1" x14ac:dyDescent="0.2">
      <c r="A47" s="1"/>
      <c r="B47" s="1"/>
    </row>
    <row r="48" spans="1:2" ht="15.75" customHeight="1" x14ac:dyDescent="0.2">
      <c r="A48" s="1"/>
      <c r="B48" s="1"/>
    </row>
    <row r="49" spans="1:2" ht="15.75" customHeight="1" x14ac:dyDescent="0.2">
      <c r="A49" s="1"/>
      <c r="B49" s="1"/>
    </row>
    <row r="50" spans="1:2" ht="15.75" customHeight="1" x14ac:dyDescent="0.2">
      <c r="A50" s="1"/>
      <c r="B50" s="1"/>
    </row>
    <row r="51" spans="1:2" ht="15.75" customHeight="1" x14ac:dyDescent="0.2">
      <c r="A51" s="1"/>
      <c r="B51" s="1"/>
    </row>
    <row r="52" spans="1:2" ht="15.75" customHeight="1" x14ac:dyDescent="0.2"/>
    <row r="53" spans="1:2" ht="15.75" customHeight="1" x14ac:dyDescent="0.2"/>
    <row r="54" spans="1:2" ht="15.75" customHeight="1" x14ac:dyDescent="0.2"/>
    <row r="55" spans="1:2" ht="15.75" customHeight="1" x14ac:dyDescent="0.2"/>
    <row r="56" spans="1:2" ht="15.75" customHeight="1" x14ac:dyDescent="0.2"/>
    <row r="57" spans="1:2" ht="15.75" customHeight="1" x14ac:dyDescent="0.2"/>
    <row r="58" spans="1:2" ht="15.75" customHeight="1" x14ac:dyDescent="0.2"/>
    <row r="59" spans="1:2" ht="15.75" customHeight="1" x14ac:dyDescent="0.2"/>
    <row r="60" spans="1:2" ht="15.75" customHeight="1" x14ac:dyDescent="0.2"/>
    <row r="61" spans="1:2" ht="15.75" customHeight="1" x14ac:dyDescent="0.2"/>
    <row r="62" spans="1:2" ht="15.75" customHeight="1" x14ac:dyDescent="0.2"/>
    <row r="63" spans="1:2" ht="15.75" customHeight="1" x14ac:dyDescent="0.2"/>
    <row r="64" spans="1:2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41EA-FE1C-1C4A-9475-09A3046468D7}">
  <dimension ref="A1:D1000"/>
  <sheetViews>
    <sheetView zoomScaleNormal="100" workbookViewId="0">
      <selection activeCell="A2" sqref="A2:D251"/>
    </sheetView>
  </sheetViews>
  <sheetFormatPr baseColWidth="10" defaultColWidth="14.5" defaultRowHeight="16" x14ac:dyDescent="0.2"/>
  <cols>
    <col min="1" max="1" width="10.33203125" customWidth="1"/>
    <col min="2" max="2" width="8.33203125" bestFit="1" customWidth="1"/>
    <col min="3" max="3" width="8.6640625" bestFit="1" customWidth="1"/>
    <col min="4" max="4" width="15.33203125" bestFit="1" customWidth="1"/>
    <col min="5" max="6" width="8.83203125" customWidth="1"/>
    <col min="7" max="7" width="24" bestFit="1" customWidth="1"/>
    <col min="8" max="8" width="16" bestFit="1" customWidth="1"/>
    <col min="9" max="9" width="10.5" bestFit="1" customWidth="1"/>
    <col min="10" max="11" width="8.83203125" customWidth="1"/>
    <col min="12" max="12" width="24" bestFit="1" customWidth="1"/>
    <col min="13" max="13" width="8.6640625" bestFit="1" customWidth="1"/>
    <col min="14" max="14" width="10.5" bestFit="1" customWidth="1"/>
    <col min="15" max="15" width="17.33203125" bestFit="1" customWidth="1"/>
    <col min="16" max="16" width="12" bestFit="1" customWidth="1"/>
    <col min="17" max="17" width="27.5" bestFit="1" customWidth="1"/>
    <col min="18" max="18" width="19.5" bestFit="1" customWidth="1"/>
    <col min="19" max="19" width="30" bestFit="1" customWidth="1"/>
    <col min="20" max="20" width="13" bestFit="1" customWidth="1"/>
    <col min="21" max="21" width="10.33203125" bestFit="1" customWidth="1"/>
    <col min="22" max="22" width="13" bestFit="1" customWidth="1"/>
    <col min="23" max="23" width="10.5" bestFit="1" customWidth="1"/>
  </cols>
  <sheetData>
    <row r="1" spans="1:4" x14ac:dyDescent="0.2">
      <c r="A1" s="2" t="s">
        <v>0</v>
      </c>
      <c r="B1" s="5" t="s">
        <v>21</v>
      </c>
      <c r="C1" s="5" t="s">
        <v>22</v>
      </c>
      <c r="D1" s="35" t="s">
        <v>23</v>
      </c>
    </row>
    <row r="2" spans="1:4" x14ac:dyDescent="0.2">
      <c r="A2" s="1"/>
      <c r="B2" s="6"/>
      <c r="C2" s="1"/>
    </row>
    <row r="3" spans="1:4" x14ac:dyDescent="0.2">
      <c r="A3" s="1"/>
      <c r="B3" s="6"/>
      <c r="C3" s="1"/>
    </row>
    <row r="4" spans="1:4" x14ac:dyDescent="0.2">
      <c r="A4" s="1"/>
      <c r="B4" s="6"/>
      <c r="C4" s="1"/>
    </row>
    <row r="5" spans="1:4" x14ac:dyDescent="0.2">
      <c r="A5" s="1"/>
      <c r="B5" s="6"/>
      <c r="C5" s="1"/>
    </row>
    <row r="6" spans="1:4" x14ac:dyDescent="0.2">
      <c r="A6" s="1"/>
      <c r="B6" s="6"/>
      <c r="C6" s="1"/>
    </row>
    <row r="7" spans="1:4" x14ac:dyDescent="0.2">
      <c r="A7" s="1"/>
      <c r="B7" s="6"/>
      <c r="C7" s="1"/>
    </row>
    <row r="8" spans="1:4" x14ac:dyDescent="0.2">
      <c r="A8" s="1"/>
      <c r="B8" s="6"/>
      <c r="C8" s="1"/>
    </row>
    <row r="9" spans="1:4" x14ac:dyDescent="0.2">
      <c r="A9" s="1"/>
      <c r="B9" s="6"/>
      <c r="C9" s="1"/>
    </row>
    <row r="10" spans="1:4" x14ac:dyDescent="0.2">
      <c r="A10" s="1"/>
      <c r="B10" s="6"/>
      <c r="C10" s="1"/>
    </row>
    <row r="11" spans="1:4" x14ac:dyDescent="0.2">
      <c r="A11" s="1"/>
      <c r="B11" s="6"/>
      <c r="C11" s="1"/>
    </row>
    <row r="12" spans="1:4" x14ac:dyDescent="0.2">
      <c r="A12" s="1"/>
      <c r="B12" s="6"/>
      <c r="C12" s="1"/>
    </row>
    <row r="13" spans="1:4" x14ac:dyDescent="0.2">
      <c r="A13" s="1"/>
      <c r="B13" s="6"/>
      <c r="C13" s="1"/>
    </row>
    <row r="14" spans="1:4" x14ac:dyDescent="0.2">
      <c r="A14" s="1"/>
      <c r="B14" s="6"/>
      <c r="C14" s="1"/>
    </row>
    <row r="15" spans="1:4" x14ac:dyDescent="0.2">
      <c r="A15" s="1"/>
      <c r="B15" s="6"/>
      <c r="C15" s="1"/>
    </row>
    <row r="16" spans="1:4" x14ac:dyDescent="0.2">
      <c r="A16" s="1"/>
      <c r="B16" s="6"/>
      <c r="C16" s="1"/>
    </row>
    <row r="17" spans="1:3" x14ac:dyDescent="0.2">
      <c r="A17" s="1"/>
      <c r="B17" s="6"/>
      <c r="C17" s="1"/>
    </row>
    <row r="18" spans="1:3" x14ac:dyDescent="0.2">
      <c r="A18" s="1"/>
      <c r="B18" s="6"/>
      <c r="C18" s="1"/>
    </row>
    <row r="19" spans="1:3" x14ac:dyDescent="0.2">
      <c r="A19" s="1"/>
      <c r="B19" s="6"/>
      <c r="C19" s="1"/>
    </row>
    <row r="20" spans="1:3" x14ac:dyDescent="0.2">
      <c r="A20" s="1"/>
      <c r="B20" s="6"/>
      <c r="C20" s="1"/>
    </row>
    <row r="21" spans="1:3" ht="15.75" customHeight="1" x14ac:dyDescent="0.2">
      <c r="A21" s="1"/>
      <c r="B21" s="6"/>
      <c r="C21" s="1"/>
    </row>
    <row r="22" spans="1:3" ht="15.75" customHeight="1" x14ac:dyDescent="0.2">
      <c r="A22" s="1"/>
      <c r="B22" s="6"/>
      <c r="C22" s="1"/>
    </row>
    <row r="23" spans="1:3" ht="15.75" customHeight="1" x14ac:dyDescent="0.2">
      <c r="A23" s="1"/>
      <c r="B23" s="6"/>
      <c r="C23" s="1"/>
    </row>
    <row r="24" spans="1:3" ht="15.75" customHeight="1" x14ac:dyDescent="0.2">
      <c r="A24" s="1"/>
      <c r="B24" s="6"/>
      <c r="C24" s="1"/>
    </row>
    <row r="25" spans="1:3" ht="15.75" customHeight="1" x14ac:dyDescent="0.2">
      <c r="A25" s="1"/>
      <c r="B25" s="6"/>
      <c r="C25" s="1"/>
    </row>
    <row r="26" spans="1:3" ht="15.75" customHeight="1" x14ac:dyDescent="0.2">
      <c r="A26" s="1"/>
      <c r="B26" s="6"/>
      <c r="C26" s="1"/>
    </row>
    <row r="27" spans="1:3" ht="15.75" customHeight="1" x14ac:dyDescent="0.2">
      <c r="A27" s="1"/>
      <c r="B27" s="6"/>
      <c r="C27" s="1"/>
    </row>
    <row r="28" spans="1:3" ht="15.75" customHeight="1" x14ac:dyDescent="0.2">
      <c r="A28" s="1"/>
      <c r="B28" s="6"/>
      <c r="C28" s="1"/>
    </row>
    <row r="29" spans="1:3" ht="15.75" customHeight="1" x14ac:dyDescent="0.2">
      <c r="A29" s="1"/>
      <c r="B29" s="6"/>
      <c r="C29" s="1"/>
    </row>
    <row r="30" spans="1:3" ht="15.75" customHeight="1" x14ac:dyDescent="0.2">
      <c r="A30" s="1"/>
      <c r="B30" s="6"/>
      <c r="C30" s="1"/>
    </row>
    <row r="31" spans="1:3" ht="15.75" customHeight="1" x14ac:dyDescent="0.2">
      <c r="A31" s="1"/>
      <c r="B31" s="6"/>
      <c r="C31" s="1"/>
    </row>
    <row r="32" spans="1:3" ht="15.75" customHeight="1" x14ac:dyDescent="0.2">
      <c r="A32" s="1"/>
      <c r="B32" s="6"/>
      <c r="C32" s="1"/>
    </row>
    <row r="33" spans="1:3" ht="15.75" customHeight="1" x14ac:dyDescent="0.2">
      <c r="A33" s="1"/>
      <c r="B33" s="6"/>
      <c r="C33" s="1"/>
    </row>
    <row r="34" spans="1:3" ht="15.75" customHeight="1" x14ac:dyDescent="0.2">
      <c r="A34" s="1"/>
      <c r="B34" s="6"/>
      <c r="C34" s="1"/>
    </row>
    <row r="35" spans="1:3" ht="15.75" customHeight="1" x14ac:dyDescent="0.2">
      <c r="A35" s="1"/>
      <c r="B35" s="6"/>
      <c r="C35" s="1"/>
    </row>
    <row r="36" spans="1:3" ht="15.75" customHeight="1" x14ac:dyDescent="0.2">
      <c r="A36" s="1"/>
      <c r="B36" s="6"/>
      <c r="C36" s="1"/>
    </row>
    <row r="37" spans="1:3" ht="15.75" customHeight="1" x14ac:dyDescent="0.2">
      <c r="A37" s="1"/>
      <c r="B37" s="6"/>
      <c r="C37" s="1"/>
    </row>
    <row r="38" spans="1:3" ht="15.75" customHeight="1" x14ac:dyDescent="0.2">
      <c r="A38" s="1"/>
      <c r="B38" s="6"/>
      <c r="C38" s="1"/>
    </row>
    <row r="39" spans="1:3" ht="15.75" customHeight="1" x14ac:dyDescent="0.2">
      <c r="A39" s="1"/>
      <c r="B39" s="6"/>
      <c r="C39" s="1"/>
    </row>
    <row r="40" spans="1:3" ht="15.75" customHeight="1" x14ac:dyDescent="0.2">
      <c r="A40" s="1"/>
      <c r="B40" s="6"/>
      <c r="C40" s="1"/>
    </row>
    <row r="41" spans="1:3" ht="15.75" customHeight="1" x14ac:dyDescent="0.2">
      <c r="A41" s="1"/>
      <c r="B41" s="6"/>
      <c r="C41" s="1"/>
    </row>
    <row r="42" spans="1:3" ht="15.75" customHeight="1" x14ac:dyDescent="0.2">
      <c r="A42" s="1"/>
      <c r="B42" s="6"/>
      <c r="C42" s="1"/>
    </row>
    <row r="43" spans="1:3" ht="15.75" customHeight="1" x14ac:dyDescent="0.2">
      <c r="A43" s="1"/>
      <c r="B43" s="6"/>
      <c r="C43" s="1"/>
    </row>
    <row r="44" spans="1:3" ht="15.75" customHeight="1" x14ac:dyDescent="0.2">
      <c r="A44" s="1"/>
      <c r="B44" s="6"/>
      <c r="C44" s="1"/>
    </row>
    <row r="45" spans="1:3" ht="15.75" customHeight="1" x14ac:dyDescent="0.2">
      <c r="A45" s="1"/>
      <c r="B45" s="6"/>
      <c r="C45" s="1"/>
    </row>
    <row r="46" spans="1:3" ht="15.75" customHeight="1" x14ac:dyDescent="0.2">
      <c r="A46" s="1"/>
      <c r="B46" s="6"/>
      <c r="C46" s="1"/>
    </row>
    <row r="47" spans="1:3" ht="15.75" customHeight="1" x14ac:dyDescent="0.2">
      <c r="A47" s="1"/>
      <c r="B47" s="6"/>
      <c r="C47" s="1"/>
    </row>
    <row r="48" spans="1:3" ht="15.75" customHeight="1" x14ac:dyDescent="0.2">
      <c r="A48" s="1"/>
      <c r="B48" s="6"/>
      <c r="C48" s="1"/>
    </row>
    <row r="49" spans="1:3" ht="15.75" customHeight="1" x14ac:dyDescent="0.2">
      <c r="A49" s="1"/>
      <c r="B49" s="6"/>
      <c r="C49" s="1"/>
    </row>
    <row r="50" spans="1:3" ht="15.75" customHeight="1" x14ac:dyDescent="0.2">
      <c r="A50" s="1"/>
      <c r="B50" s="6"/>
      <c r="C50" s="1"/>
    </row>
    <row r="51" spans="1:3" ht="15.75" customHeight="1" x14ac:dyDescent="0.2">
      <c r="A51" s="1"/>
      <c r="B51" s="6"/>
      <c r="C51" s="1"/>
    </row>
    <row r="52" spans="1:3" ht="15.75" customHeight="1" x14ac:dyDescent="0.2">
      <c r="A52" s="1"/>
      <c r="B52" s="6"/>
      <c r="C52" s="7"/>
    </row>
    <row r="53" spans="1:3" ht="15.75" customHeight="1" x14ac:dyDescent="0.2">
      <c r="A53" s="1"/>
      <c r="B53" s="6"/>
      <c r="C53" s="7"/>
    </row>
    <row r="54" spans="1:3" ht="15.75" customHeight="1" x14ac:dyDescent="0.2">
      <c r="A54" s="1"/>
      <c r="B54" s="6"/>
      <c r="C54" s="7"/>
    </row>
    <row r="55" spans="1:3" ht="15.75" customHeight="1" x14ac:dyDescent="0.2">
      <c r="A55" s="1"/>
      <c r="B55" s="6"/>
      <c r="C55" s="7"/>
    </row>
    <row r="56" spans="1:3" ht="15.75" customHeight="1" x14ac:dyDescent="0.2">
      <c r="A56" s="1"/>
      <c r="B56" s="6"/>
      <c r="C56" s="7"/>
    </row>
    <row r="57" spans="1:3" ht="15.75" customHeight="1" x14ac:dyDescent="0.2">
      <c r="A57" s="1"/>
      <c r="B57" s="6"/>
      <c r="C57" s="7"/>
    </row>
    <row r="58" spans="1:3" ht="15.75" customHeight="1" x14ac:dyDescent="0.2">
      <c r="A58" s="1"/>
      <c r="B58" s="6"/>
      <c r="C58" s="7"/>
    </row>
    <row r="59" spans="1:3" ht="15.75" customHeight="1" x14ac:dyDescent="0.2">
      <c r="A59" s="1"/>
      <c r="B59" s="6"/>
      <c r="C59" s="7"/>
    </row>
    <row r="60" spans="1:3" ht="15.75" customHeight="1" x14ac:dyDescent="0.2">
      <c r="A60" s="1"/>
      <c r="B60" s="6"/>
      <c r="C60" s="7"/>
    </row>
    <row r="61" spans="1:3" ht="15.75" customHeight="1" x14ac:dyDescent="0.2">
      <c r="A61" s="1"/>
      <c r="B61" s="6"/>
      <c r="C61" s="7"/>
    </row>
    <row r="62" spans="1:3" ht="15.75" customHeight="1" x14ac:dyDescent="0.2">
      <c r="A62" s="1"/>
      <c r="B62" s="6"/>
      <c r="C62" s="7"/>
    </row>
    <row r="63" spans="1:3" ht="15.75" customHeight="1" x14ac:dyDescent="0.2">
      <c r="A63" s="1"/>
      <c r="B63" s="6"/>
      <c r="C63" s="7"/>
    </row>
    <row r="64" spans="1:3" ht="15.75" customHeight="1" x14ac:dyDescent="0.2">
      <c r="A64" s="1"/>
      <c r="B64" s="6"/>
      <c r="C64" s="7"/>
    </row>
    <row r="65" spans="1:3" ht="15.75" customHeight="1" x14ac:dyDescent="0.2">
      <c r="A65" s="1"/>
      <c r="B65" s="6"/>
      <c r="C65" s="7"/>
    </row>
    <row r="66" spans="1:3" ht="15.75" customHeight="1" x14ac:dyDescent="0.2">
      <c r="A66" s="1"/>
      <c r="B66" s="6"/>
      <c r="C66" s="7"/>
    </row>
    <row r="67" spans="1:3" ht="15.75" customHeight="1" x14ac:dyDescent="0.2">
      <c r="A67" s="1"/>
      <c r="B67" s="6"/>
      <c r="C67" s="7"/>
    </row>
    <row r="68" spans="1:3" ht="15.75" customHeight="1" x14ac:dyDescent="0.2">
      <c r="A68" s="1"/>
      <c r="B68" s="6"/>
      <c r="C68" s="7"/>
    </row>
    <row r="69" spans="1:3" ht="15.75" customHeight="1" x14ac:dyDescent="0.2">
      <c r="A69" s="1"/>
      <c r="B69" s="6"/>
      <c r="C69" s="7"/>
    </row>
    <row r="70" spans="1:3" ht="15.75" customHeight="1" x14ac:dyDescent="0.2">
      <c r="A70" s="1"/>
      <c r="B70" s="6"/>
      <c r="C70" s="7"/>
    </row>
    <row r="71" spans="1:3" ht="15.75" customHeight="1" x14ac:dyDescent="0.2">
      <c r="A71" s="1"/>
      <c r="B71" s="6"/>
      <c r="C71" s="7"/>
    </row>
    <row r="72" spans="1:3" ht="15.75" customHeight="1" x14ac:dyDescent="0.2">
      <c r="A72" s="1"/>
      <c r="B72" s="6"/>
      <c r="C72" s="7"/>
    </row>
    <row r="73" spans="1:3" ht="15.75" customHeight="1" x14ac:dyDescent="0.2">
      <c r="A73" s="1"/>
      <c r="B73" s="6"/>
      <c r="C73" s="7"/>
    </row>
    <row r="74" spans="1:3" ht="15.75" customHeight="1" x14ac:dyDescent="0.2">
      <c r="A74" s="1"/>
      <c r="B74" s="6"/>
      <c r="C74" s="7"/>
    </row>
    <row r="75" spans="1:3" ht="15.75" customHeight="1" x14ac:dyDescent="0.2">
      <c r="A75" s="1"/>
      <c r="B75" s="6"/>
      <c r="C75" s="7"/>
    </row>
    <row r="76" spans="1:3" ht="15.75" customHeight="1" x14ac:dyDescent="0.2">
      <c r="A76" s="1"/>
      <c r="B76" s="6"/>
      <c r="C76" s="7"/>
    </row>
    <row r="77" spans="1:3" ht="15.75" customHeight="1" x14ac:dyDescent="0.2">
      <c r="A77" s="1"/>
      <c r="B77" s="6"/>
      <c r="C77" s="7"/>
    </row>
    <row r="78" spans="1:3" ht="15.75" customHeight="1" x14ac:dyDescent="0.2">
      <c r="A78" s="1"/>
      <c r="B78" s="6"/>
      <c r="C78" s="7"/>
    </row>
    <row r="79" spans="1:3" ht="15.75" customHeight="1" x14ac:dyDescent="0.2">
      <c r="A79" s="1"/>
      <c r="B79" s="6"/>
      <c r="C79" s="7"/>
    </row>
    <row r="80" spans="1:3" ht="15.75" customHeight="1" x14ac:dyDescent="0.2">
      <c r="A80" s="1"/>
      <c r="B80" s="6"/>
      <c r="C80" s="7"/>
    </row>
    <row r="81" spans="1:3" ht="15.75" customHeight="1" x14ac:dyDescent="0.2">
      <c r="A81" s="1"/>
      <c r="B81" s="6"/>
      <c r="C81" s="7"/>
    </row>
    <row r="82" spans="1:3" ht="15.75" customHeight="1" x14ac:dyDescent="0.2">
      <c r="A82" s="1"/>
      <c r="B82" s="6"/>
      <c r="C82" s="7"/>
    </row>
    <row r="83" spans="1:3" ht="15.75" customHeight="1" x14ac:dyDescent="0.2">
      <c r="A83" s="1"/>
      <c r="B83" s="6"/>
      <c r="C83" s="7"/>
    </row>
    <row r="84" spans="1:3" ht="15.75" customHeight="1" x14ac:dyDescent="0.2">
      <c r="A84" s="1"/>
      <c r="B84" s="6"/>
      <c r="C84" s="7"/>
    </row>
    <row r="85" spans="1:3" ht="15.75" customHeight="1" x14ac:dyDescent="0.2">
      <c r="A85" s="1"/>
      <c r="B85" s="6"/>
      <c r="C85" s="7"/>
    </row>
    <row r="86" spans="1:3" ht="15.75" customHeight="1" x14ac:dyDescent="0.2">
      <c r="A86" s="1"/>
      <c r="B86" s="6"/>
      <c r="C86" s="7"/>
    </row>
    <row r="87" spans="1:3" ht="15.75" customHeight="1" x14ac:dyDescent="0.2">
      <c r="A87" s="1"/>
      <c r="B87" s="6"/>
      <c r="C87" s="7"/>
    </row>
    <row r="88" spans="1:3" ht="15.75" customHeight="1" x14ac:dyDescent="0.2">
      <c r="A88" s="1"/>
      <c r="B88" s="6"/>
      <c r="C88" s="7"/>
    </row>
    <row r="89" spans="1:3" ht="15.75" customHeight="1" x14ac:dyDescent="0.2">
      <c r="A89" s="1"/>
      <c r="B89" s="6"/>
      <c r="C89" s="7"/>
    </row>
    <row r="90" spans="1:3" ht="15.75" customHeight="1" x14ac:dyDescent="0.2">
      <c r="A90" s="1"/>
      <c r="B90" s="6"/>
      <c r="C90" s="7"/>
    </row>
    <row r="91" spans="1:3" ht="15.75" customHeight="1" x14ac:dyDescent="0.2">
      <c r="A91" s="1"/>
      <c r="B91" s="6"/>
      <c r="C91" s="7"/>
    </row>
    <row r="92" spans="1:3" ht="15.75" customHeight="1" x14ac:dyDescent="0.2">
      <c r="A92" s="1"/>
      <c r="B92" s="6"/>
      <c r="C92" s="7"/>
    </row>
    <row r="93" spans="1:3" ht="15.75" customHeight="1" x14ac:dyDescent="0.2">
      <c r="A93" s="1"/>
      <c r="B93" s="6"/>
      <c r="C93" s="7"/>
    </row>
    <row r="94" spans="1:3" ht="15.75" customHeight="1" x14ac:dyDescent="0.2">
      <c r="A94" s="1"/>
      <c r="B94" s="6"/>
      <c r="C94" s="7"/>
    </row>
    <row r="95" spans="1:3" ht="15.75" customHeight="1" x14ac:dyDescent="0.2">
      <c r="A95" s="1"/>
      <c r="B95" s="6"/>
      <c r="C95" s="7"/>
    </row>
    <row r="96" spans="1:3" ht="15.75" customHeight="1" x14ac:dyDescent="0.2">
      <c r="A96" s="1"/>
      <c r="B96" s="6"/>
      <c r="C96" s="7"/>
    </row>
    <row r="97" spans="1:3" ht="15.75" customHeight="1" x14ac:dyDescent="0.2">
      <c r="A97" s="1"/>
      <c r="B97" s="6"/>
      <c r="C97" s="7"/>
    </row>
    <row r="98" spans="1:3" ht="15.75" customHeight="1" x14ac:dyDescent="0.2">
      <c r="A98" s="1"/>
      <c r="B98" s="6"/>
      <c r="C98" s="7"/>
    </row>
    <row r="99" spans="1:3" ht="15.75" customHeight="1" x14ac:dyDescent="0.2">
      <c r="A99" s="1"/>
      <c r="B99" s="6"/>
      <c r="C99" s="7"/>
    </row>
    <row r="100" spans="1:3" ht="15.75" customHeight="1" x14ac:dyDescent="0.2">
      <c r="A100" s="1"/>
      <c r="B100" s="6"/>
      <c r="C100" s="7"/>
    </row>
    <row r="101" spans="1:3" ht="15.75" customHeight="1" x14ac:dyDescent="0.2">
      <c r="A101" s="1"/>
      <c r="B101" s="6"/>
      <c r="C101" s="7"/>
    </row>
    <row r="102" spans="1:3" ht="15.75" customHeight="1" x14ac:dyDescent="0.2">
      <c r="A102" s="1"/>
      <c r="B102" s="6"/>
      <c r="C102" s="7"/>
    </row>
    <row r="103" spans="1:3" ht="15.75" customHeight="1" x14ac:dyDescent="0.2">
      <c r="A103" s="1"/>
      <c r="B103" s="6"/>
      <c r="C103" s="7"/>
    </row>
    <row r="104" spans="1:3" ht="15.75" customHeight="1" x14ac:dyDescent="0.2">
      <c r="A104" s="1"/>
      <c r="B104" s="6"/>
      <c r="C104" s="7"/>
    </row>
    <row r="105" spans="1:3" ht="15.75" customHeight="1" x14ac:dyDescent="0.2">
      <c r="A105" s="1"/>
      <c r="B105" s="6"/>
      <c r="C105" s="7"/>
    </row>
    <row r="106" spans="1:3" ht="15.75" customHeight="1" x14ac:dyDescent="0.2">
      <c r="A106" s="1"/>
      <c r="B106" s="6"/>
      <c r="C106" s="7"/>
    </row>
    <row r="107" spans="1:3" ht="15.75" customHeight="1" x14ac:dyDescent="0.2">
      <c r="A107" s="1"/>
      <c r="B107" s="6"/>
      <c r="C107" s="7"/>
    </row>
    <row r="108" spans="1:3" ht="15.75" customHeight="1" x14ac:dyDescent="0.2">
      <c r="A108" s="1"/>
      <c r="B108" s="6"/>
      <c r="C108" s="7"/>
    </row>
    <row r="109" spans="1:3" ht="15.75" customHeight="1" x14ac:dyDescent="0.2">
      <c r="A109" s="1"/>
      <c r="B109" s="6"/>
      <c r="C109" s="7"/>
    </row>
    <row r="110" spans="1:3" ht="15.75" customHeight="1" x14ac:dyDescent="0.2">
      <c r="A110" s="1"/>
      <c r="B110" s="6"/>
      <c r="C110" s="7"/>
    </row>
    <row r="111" spans="1:3" ht="15.75" customHeight="1" x14ac:dyDescent="0.2">
      <c r="A111" s="1"/>
      <c r="B111" s="6"/>
      <c r="C111" s="7"/>
    </row>
    <row r="112" spans="1:3" ht="15.75" customHeight="1" x14ac:dyDescent="0.2">
      <c r="A112" s="1"/>
      <c r="B112" s="6"/>
      <c r="C112" s="7"/>
    </row>
    <row r="113" spans="1:3" ht="15.75" customHeight="1" x14ac:dyDescent="0.2">
      <c r="A113" s="1"/>
      <c r="B113" s="6"/>
      <c r="C113" s="7"/>
    </row>
    <row r="114" spans="1:3" ht="15.75" customHeight="1" x14ac:dyDescent="0.2">
      <c r="A114" s="1"/>
      <c r="B114" s="6"/>
      <c r="C114" s="7"/>
    </row>
    <row r="115" spans="1:3" ht="15.75" customHeight="1" x14ac:dyDescent="0.2">
      <c r="A115" s="1"/>
      <c r="B115" s="6"/>
      <c r="C115" s="7"/>
    </row>
    <row r="116" spans="1:3" ht="15.75" customHeight="1" x14ac:dyDescent="0.2">
      <c r="A116" s="1"/>
      <c r="B116" s="6"/>
      <c r="C116" s="7"/>
    </row>
    <row r="117" spans="1:3" ht="15.75" customHeight="1" x14ac:dyDescent="0.2">
      <c r="A117" s="1"/>
      <c r="B117" s="6"/>
      <c r="C117" s="7"/>
    </row>
    <row r="118" spans="1:3" ht="15.75" customHeight="1" x14ac:dyDescent="0.2">
      <c r="A118" s="1"/>
      <c r="B118" s="6"/>
      <c r="C118" s="7"/>
    </row>
    <row r="119" spans="1:3" ht="15.75" customHeight="1" x14ac:dyDescent="0.2">
      <c r="A119" s="1"/>
      <c r="B119" s="6"/>
      <c r="C119" s="7"/>
    </row>
    <row r="120" spans="1:3" ht="15.75" customHeight="1" x14ac:dyDescent="0.2">
      <c r="A120" s="1"/>
      <c r="B120" s="6"/>
      <c r="C120" s="7"/>
    </row>
    <row r="121" spans="1:3" ht="15.75" customHeight="1" x14ac:dyDescent="0.2">
      <c r="A121" s="1"/>
      <c r="B121" s="6"/>
      <c r="C121" s="7"/>
    </row>
    <row r="122" spans="1:3" ht="15.75" customHeight="1" x14ac:dyDescent="0.2">
      <c r="A122" s="1"/>
      <c r="B122" s="6"/>
      <c r="C122" s="7"/>
    </row>
    <row r="123" spans="1:3" ht="15.75" customHeight="1" x14ac:dyDescent="0.2">
      <c r="A123" s="1"/>
      <c r="B123" s="6"/>
      <c r="C123" s="7"/>
    </row>
    <row r="124" spans="1:3" ht="15.75" customHeight="1" x14ac:dyDescent="0.2">
      <c r="A124" s="1"/>
      <c r="B124" s="6"/>
      <c r="C124" s="7"/>
    </row>
    <row r="125" spans="1:3" ht="15.75" customHeight="1" x14ac:dyDescent="0.2">
      <c r="A125" s="1"/>
      <c r="B125" s="6"/>
      <c r="C125" s="7"/>
    </row>
    <row r="126" spans="1:3" ht="15.75" customHeight="1" x14ac:dyDescent="0.2">
      <c r="A126" s="1"/>
      <c r="B126" s="6"/>
      <c r="C126" s="7"/>
    </row>
    <row r="127" spans="1:3" ht="15.75" customHeight="1" x14ac:dyDescent="0.2">
      <c r="A127" s="1"/>
      <c r="B127" s="6"/>
      <c r="C127" s="7"/>
    </row>
    <row r="128" spans="1:3" ht="15.75" customHeight="1" x14ac:dyDescent="0.2">
      <c r="A128" s="1"/>
      <c r="B128" s="6"/>
      <c r="C128" s="7"/>
    </row>
    <row r="129" spans="1:3" ht="15.75" customHeight="1" x14ac:dyDescent="0.2">
      <c r="A129" s="1"/>
      <c r="B129" s="6"/>
      <c r="C129" s="7"/>
    </row>
    <row r="130" spans="1:3" ht="15.75" customHeight="1" x14ac:dyDescent="0.2">
      <c r="A130" s="1"/>
      <c r="B130" s="6"/>
      <c r="C130" s="7"/>
    </row>
    <row r="131" spans="1:3" ht="15.75" customHeight="1" x14ac:dyDescent="0.2">
      <c r="A131" s="1"/>
      <c r="B131" s="6"/>
      <c r="C131" s="7"/>
    </row>
    <row r="132" spans="1:3" ht="15.75" customHeight="1" x14ac:dyDescent="0.2">
      <c r="A132" s="1"/>
      <c r="B132" s="6"/>
      <c r="C132" s="7"/>
    </row>
    <row r="133" spans="1:3" ht="15.75" customHeight="1" x14ac:dyDescent="0.2">
      <c r="A133" s="1"/>
      <c r="B133" s="6"/>
      <c r="C133" s="7"/>
    </row>
    <row r="134" spans="1:3" ht="15.75" customHeight="1" x14ac:dyDescent="0.2">
      <c r="A134" s="1"/>
      <c r="B134" s="6"/>
      <c r="C134" s="7"/>
    </row>
    <row r="135" spans="1:3" ht="15.75" customHeight="1" x14ac:dyDescent="0.2">
      <c r="A135" s="1"/>
      <c r="B135" s="6"/>
      <c r="C135" s="7"/>
    </row>
    <row r="136" spans="1:3" ht="15.75" customHeight="1" x14ac:dyDescent="0.2">
      <c r="A136" s="1"/>
      <c r="B136" s="6"/>
      <c r="C136" s="7"/>
    </row>
    <row r="137" spans="1:3" ht="15.75" customHeight="1" x14ac:dyDescent="0.2">
      <c r="A137" s="1"/>
      <c r="B137" s="6"/>
      <c r="C137" s="7"/>
    </row>
    <row r="138" spans="1:3" ht="15.75" customHeight="1" x14ac:dyDescent="0.2">
      <c r="A138" s="1"/>
      <c r="B138" s="6"/>
      <c r="C138" s="7"/>
    </row>
    <row r="139" spans="1:3" ht="15.75" customHeight="1" x14ac:dyDescent="0.2">
      <c r="A139" s="1"/>
      <c r="B139" s="6"/>
      <c r="C139" s="7"/>
    </row>
    <row r="140" spans="1:3" ht="15.75" customHeight="1" x14ac:dyDescent="0.2">
      <c r="A140" s="1"/>
      <c r="B140" s="6"/>
      <c r="C140" s="7"/>
    </row>
    <row r="141" spans="1:3" ht="15.75" customHeight="1" x14ac:dyDescent="0.2">
      <c r="A141" s="1"/>
      <c r="B141" s="6"/>
      <c r="C141" s="7"/>
    </row>
    <row r="142" spans="1:3" ht="15.75" customHeight="1" x14ac:dyDescent="0.2">
      <c r="A142" s="1"/>
      <c r="B142" s="6"/>
      <c r="C142" s="7"/>
    </row>
    <row r="143" spans="1:3" ht="15.75" customHeight="1" x14ac:dyDescent="0.2">
      <c r="A143" s="1"/>
      <c r="B143" s="6"/>
      <c r="C143" s="7"/>
    </row>
    <row r="144" spans="1:3" ht="15.75" customHeight="1" x14ac:dyDescent="0.2">
      <c r="A144" s="1"/>
      <c r="B144" s="6"/>
      <c r="C144" s="7"/>
    </row>
    <row r="145" spans="1:3" ht="15.75" customHeight="1" x14ac:dyDescent="0.2">
      <c r="A145" s="1"/>
      <c r="B145" s="6"/>
      <c r="C145" s="7"/>
    </row>
    <row r="146" spans="1:3" ht="15.75" customHeight="1" x14ac:dyDescent="0.2">
      <c r="A146" s="1"/>
      <c r="B146" s="6"/>
      <c r="C146" s="7"/>
    </row>
    <row r="147" spans="1:3" ht="15.75" customHeight="1" x14ac:dyDescent="0.2">
      <c r="A147" s="1"/>
      <c r="B147" s="6"/>
      <c r="C147" s="7"/>
    </row>
    <row r="148" spans="1:3" ht="15.75" customHeight="1" x14ac:dyDescent="0.2">
      <c r="A148" s="1"/>
      <c r="B148" s="6"/>
      <c r="C148" s="7"/>
    </row>
    <row r="149" spans="1:3" ht="15.75" customHeight="1" x14ac:dyDescent="0.2">
      <c r="A149" s="1"/>
      <c r="B149" s="6"/>
      <c r="C149" s="7"/>
    </row>
    <row r="150" spans="1:3" ht="15.75" customHeight="1" x14ac:dyDescent="0.2">
      <c r="A150" s="1"/>
      <c r="B150" s="6"/>
      <c r="C150" s="7"/>
    </row>
    <row r="151" spans="1:3" ht="15.75" customHeight="1" x14ac:dyDescent="0.2">
      <c r="A151" s="1"/>
      <c r="B151" s="6"/>
      <c r="C151" s="7"/>
    </row>
    <row r="152" spans="1:3" ht="15.75" customHeight="1" x14ac:dyDescent="0.2">
      <c r="A152" s="1"/>
      <c r="B152" s="6"/>
      <c r="C152" s="7"/>
    </row>
    <row r="153" spans="1:3" ht="15.75" customHeight="1" x14ac:dyDescent="0.2">
      <c r="A153" s="1"/>
      <c r="B153" s="6"/>
      <c r="C153" s="7"/>
    </row>
    <row r="154" spans="1:3" ht="15.75" customHeight="1" x14ac:dyDescent="0.2">
      <c r="A154" s="1"/>
      <c r="B154" s="6"/>
      <c r="C154" s="7"/>
    </row>
    <row r="155" spans="1:3" ht="15.75" customHeight="1" x14ac:dyDescent="0.2">
      <c r="A155" s="1"/>
      <c r="B155" s="6"/>
      <c r="C155" s="7"/>
    </row>
    <row r="156" spans="1:3" ht="15.75" customHeight="1" x14ac:dyDescent="0.2">
      <c r="A156" s="1"/>
      <c r="B156" s="6"/>
      <c r="C156" s="7"/>
    </row>
    <row r="157" spans="1:3" ht="15.75" customHeight="1" x14ac:dyDescent="0.2">
      <c r="A157" s="1"/>
      <c r="B157" s="6"/>
      <c r="C157" s="7"/>
    </row>
    <row r="158" spans="1:3" ht="15.75" customHeight="1" x14ac:dyDescent="0.2">
      <c r="A158" s="1"/>
      <c r="B158" s="6"/>
      <c r="C158" s="7"/>
    </row>
    <row r="159" spans="1:3" ht="15.75" customHeight="1" x14ac:dyDescent="0.2">
      <c r="A159" s="1"/>
      <c r="B159" s="6"/>
      <c r="C159" s="7"/>
    </row>
    <row r="160" spans="1:3" ht="15.75" customHeight="1" x14ac:dyDescent="0.2">
      <c r="A160" s="1"/>
      <c r="B160" s="6"/>
      <c r="C160" s="7"/>
    </row>
    <row r="161" spans="1:3" ht="15.75" customHeight="1" x14ac:dyDescent="0.2">
      <c r="A161" s="1"/>
      <c r="B161" s="6"/>
      <c r="C161" s="7"/>
    </row>
    <row r="162" spans="1:3" ht="15.75" customHeight="1" x14ac:dyDescent="0.2">
      <c r="A162" s="1"/>
      <c r="B162" s="6"/>
      <c r="C162" s="7"/>
    </row>
    <row r="163" spans="1:3" ht="15.75" customHeight="1" x14ac:dyDescent="0.2">
      <c r="A163" s="1"/>
      <c r="B163" s="6"/>
      <c r="C163" s="7"/>
    </row>
    <row r="164" spans="1:3" ht="15.75" customHeight="1" x14ac:dyDescent="0.2">
      <c r="A164" s="1"/>
      <c r="B164" s="6"/>
      <c r="C164" s="7"/>
    </row>
    <row r="165" spans="1:3" ht="15.75" customHeight="1" x14ac:dyDescent="0.2">
      <c r="A165" s="1"/>
      <c r="B165" s="6"/>
      <c r="C165" s="7"/>
    </row>
    <row r="166" spans="1:3" ht="15.75" customHeight="1" x14ac:dyDescent="0.2">
      <c r="A166" s="1"/>
      <c r="B166" s="6"/>
      <c r="C166" s="7"/>
    </row>
    <row r="167" spans="1:3" ht="15.75" customHeight="1" x14ac:dyDescent="0.2">
      <c r="A167" s="1"/>
      <c r="B167" s="6"/>
      <c r="C167" s="7"/>
    </row>
    <row r="168" spans="1:3" ht="15.75" customHeight="1" x14ac:dyDescent="0.2">
      <c r="A168" s="1"/>
      <c r="B168" s="6"/>
      <c r="C168" s="7"/>
    </row>
    <row r="169" spans="1:3" ht="15.75" customHeight="1" x14ac:dyDescent="0.2">
      <c r="A169" s="1"/>
      <c r="B169" s="6"/>
      <c r="C169" s="7"/>
    </row>
    <row r="170" spans="1:3" ht="15.75" customHeight="1" x14ac:dyDescent="0.2">
      <c r="A170" s="1"/>
      <c r="B170" s="6"/>
      <c r="C170" s="7"/>
    </row>
    <row r="171" spans="1:3" ht="15.75" customHeight="1" x14ac:dyDescent="0.2">
      <c r="A171" s="1"/>
      <c r="B171" s="6"/>
      <c r="C171" s="7"/>
    </row>
    <row r="172" spans="1:3" ht="15.75" customHeight="1" x14ac:dyDescent="0.2">
      <c r="A172" s="1"/>
      <c r="B172" s="6"/>
      <c r="C172" s="7"/>
    </row>
    <row r="173" spans="1:3" ht="15.75" customHeight="1" x14ac:dyDescent="0.2">
      <c r="A173" s="1"/>
      <c r="B173" s="6"/>
      <c r="C173" s="7"/>
    </row>
    <row r="174" spans="1:3" ht="15.75" customHeight="1" x14ac:dyDescent="0.2">
      <c r="A174" s="1"/>
      <c r="B174" s="6"/>
      <c r="C174" s="7"/>
    </row>
    <row r="175" spans="1:3" ht="15.75" customHeight="1" x14ac:dyDescent="0.2">
      <c r="A175" s="1"/>
      <c r="B175" s="6"/>
      <c r="C175" s="7"/>
    </row>
    <row r="176" spans="1:3" ht="15.75" customHeight="1" x14ac:dyDescent="0.2">
      <c r="A176" s="1"/>
      <c r="B176" s="6"/>
      <c r="C176" s="7"/>
    </row>
    <row r="177" spans="1:3" ht="15.75" customHeight="1" x14ac:dyDescent="0.2">
      <c r="A177" s="1"/>
      <c r="B177" s="6"/>
      <c r="C177" s="7"/>
    </row>
    <row r="178" spans="1:3" ht="15.75" customHeight="1" x14ac:dyDescent="0.2">
      <c r="A178" s="1"/>
      <c r="B178" s="6"/>
      <c r="C178" s="7"/>
    </row>
    <row r="179" spans="1:3" ht="15.75" customHeight="1" x14ac:dyDescent="0.2">
      <c r="A179" s="1"/>
      <c r="B179" s="6"/>
      <c r="C179" s="7"/>
    </row>
    <row r="180" spans="1:3" ht="15.75" customHeight="1" x14ac:dyDescent="0.2">
      <c r="A180" s="1"/>
      <c r="B180" s="6"/>
      <c r="C180" s="7"/>
    </row>
    <row r="181" spans="1:3" ht="15.75" customHeight="1" x14ac:dyDescent="0.2">
      <c r="A181" s="1"/>
      <c r="B181" s="6"/>
      <c r="C181" s="7"/>
    </row>
    <row r="182" spans="1:3" ht="15.75" customHeight="1" x14ac:dyDescent="0.2">
      <c r="A182" s="1"/>
      <c r="B182" s="6"/>
      <c r="C182" s="7"/>
    </row>
    <row r="183" spans="1:3" ht="15.75" customHeight="1" x14ac:dyDescent="0.2">
      <c r="A183" s="1"/>
      <c r="B183" s="6"/>
      <c r="C183" s="7"/>
    </row>
    <row r="184" spans="1:3" ht="15.75" customHeight="1" x14ac:dyDescent="0.2">
      <c r="A184" s="1"/>
      <c r="B184" s="6"/>
      <c r="C184" s="7"/>
    </row>
    <row r="185" spans="1:3" ht="15.75" customHeight="1" x14ac:dyDescent="0.2">
      <c r="A185" s="1"/>
      <c r="B185" s="6"/>
      <c r="C185" s="7"/>
    </row>
    <row r="186" spans="1:3" ht="15.75" customHeight="1" x14ac:dyDescent="0.2">
      <c r="A186" s="1"/>
      <c r="B186" s="6"/>
      <c r="C186" s="7"/>
    </row>
    <row r="187" spans="1:3" ht="15.75" customHeight="1" x14ac:dyDescent="0.2">
      <c r="A187" s="1"/>
      <c r="B187" s="6"/>
      <c r="C187" s="7"/>
    </row>
    <row r="188" spans="1:3" ht="15.75" customHeight="1" x14ac:dyDescent="0.2">
      <c r="A188" s="1"/>
      <c r="B188" s="6"/>
      <c r="C188" s="7"/>
    </row>
    <row r="189" spans="1:3" ht="15.75" customHeight="1" x14ac:dyDescent="0.2">
      <c r="A189" s="1"/>
      <c r="B189" s="6"/>
      <c r="C189" s="7"/>
    </row>
    <row r="190" spans="1:3" ht="15.75" customHeight="1" x14ac:dyDescent="0.2">
      <c r="A190" s="1"/>
      <c r="B190" s="6"/>
      <c r="C190" s="7"/>
    </row>
    <row r="191" spans="1:3" ht="15.75" customHeight="1" x14ac:dyDescent="0.2">
      <c r="A191" s="1"/>
      <c r="B191" s="6"/>
      <c r="C191" s="7"/>
    </row>
    <row r="192" spans="1:3" ht="15.75" customHeight="1" x14ac:dyDescent="0.2">
      <c r="A192" s="1"/>
      <c r="B192" s="6"/>
      <c r="C192" s="7"/>
    </row>
    <row r="193" spans="1:3" ht="15.75" customHeight="1" x14ac:dyDescent="0.2">
      <c r="A193" s="1"/>
      <c r="B193" s="6"/>
      <c r="C193" s="7"/>
    </row>
    <row r="194" spans="1:3" ht="15.75" customHeight="1" x14ac:dyDescent="0.2">
      <c r="A194" s="1"/>
      <c r="B194" s="6"/>
      <c r="C194" s="7"/>
    </row>
    <row r="195" spans="1:3" ht="15.75" customHeight="1" x14ac:dyDescent="0.2">
      <c r="A195" s="1"/>
      <c r="B195" s="6"/>
      <c r="C195" s="7"/>
    </row>
    <row r="196" spans="1:3" ht="15.75" customHeight="1" x14ac:dyDescent="0.2">
      <c r="A196" s="1"/>
      <c r="B196" s="6"/>
      <c r="C196" s="7"/>
    </row>
    <row r="197" spans="1:3" ht="15.75" customHeight="1" x14ac:dyDescent="0.2">
      <c r="A197" s="1"/>
      <c r="B197" s="6"/>
      <c r="C197" s="7"/>
    </row>
    <row r="198" spans="1:3" ht="15.75" customHeight="1" x14ac:dyDescent="0.2">
      <c r="A198" s="1"/>
      <c r="B198" s="6"/>
      <c r="C198" s="7"/>
    </row>
    <row r="199" spans="1:3" ht="15.75" customHeight="1" x14ac:dyDescent="0.2">
      <c r="A199" s="1"/>
      <c r="B199" s="6"/>
      <c r="C199" s="7"/>
    </row>
    <row r="200" spans="1:3" ht="15.75" customHeight="1" x14ac:dyDescent="0.2">
      <c r="A200" s="1"/>
      <c r="B200" s="6"/>
      <c r="C200" s="7"/>
    </row>
    <row r="201" spans="1:3" ht="15.75" customHeight="1" x14ac:dyDescent="0.2">
      <c r="A201" s="1"/>
      <c r="B201" s="6"/>
      <c r="C201" s="7"/>
    </row>
    <row r="202" spans="1:3" ht="15.75" customHeight="1" x14ac:dyDescent="0.2">
      <c r="A202" s="1"/>
      <c r="B202" s="6"/>
      <c r="C202" s="7"/>
    </row>
    <row r="203" spans="1:3" ht="15.75" customHeight="1" x14ac:dyDescent="0.2">
      <c r="A203" s="1"/>
      <c r="B203" s="6"/>
      <c r="C203" s="7"/>
    </row>
    <row r="204" spans="1:3" ht="15.75" customHeight="1" x14ac:dyDescent="0.2">
      <c r="A204" s="1"/>
      <c r="B204" s="6"/>
      <c r="C204" s="7"/>
    </row>
    <row r="205" spans="1:3" ht="15.75" customHeight="1" x14ac:dyDescent="0.2">
      <c r="A205" s="1"/>
      <c r="B205" s="6"/>
      <c r="C205" s="7"/>
    </row>
    <row r="206" spans="1:3" ht="15.75" customHeight="1" x14ac:dyDescent="0.2">
      <c r="A206" s="1"/>
      <c r="B206" s="6"/>
      <c r="C206" s="7"/>
    </row>
    <row r="207" spans="1:3" ht="15.75" customHeight="1" x14ac:dyDescent="0.2">
      <c r="A207" s="1"/>
      <c r="B207" s="6"/>
      <c r="C207" s="7"/>
    </row>
    <row r="208" spans="1:3" ht="15.75" customHeight="1" x14ac:dyDescent="0.2">
      <c r="A208" s="1"/>
      <c r="B208" s="6"/>
      <c r="C208" s="7"/>
    </row>
    <row r="209" spans="1:3" ht="15.75" customHeight="1" x14ac:dyDescent="0.2">
      <c r="A209" s="1"/>
      <c r="B209" s="6"/>
      <c r="C209" s="7"/>
    </row>
    <row r="210" spans="1:3" ht="15.75" customHeight="1" x14ac:dyDescent="0.2">
      <c r="A210" s="1"/>
      <c r="B210" s="6"/>
      <c r="C210" s="7"/>
    </row>
    <row r="211" spans="1:3" ht="15.75" customHeight="1" x14ac:dyDescent="0.2">
      <c r="A211" s="1"/>
      <c r="B211" s="6"/>
      <c r="C211" s="7"/>
    </row>
    <row r="212" spans="1:3" ht="15.75" customHeight="1" x14ac:dyDescent="0.2">
      <c r="A212" s="1"/>
      <c r="B212" s="6"/>
      <c r="C212" s="7"/>
    </row>
    <row r="213" spans="1:3" ht="15.75" customHeight="1" x14ac:dyDescent="0.2">
      <c r="A213" s="1"/>
      <c r="B213" s="6"/>
      <c r="C213" s="7"/>
    </row>
    <row r="214" spans="1:3" ht="15.75" customHeight="1" x14ac:dyDescent="0.2">
      <c r="A214" s="1"/>
      <c r="B214" s="6"/>
      <c r="C214" s="7"/>
    </row>
    <row r="215" spans="1:3" ht="15.75" customHeight="1" x14ac:dyDescent="0.2">
      <c r="A215" s="1"/>
      <c r="B215" s="6"/>
      <c r="C215" s="7"/>
    </row>
    <row r="216" spans="1:3" ht="15.75" customHeight="1" x14ac:dyDescent="0.2">
      <c r="A216" s="1"/>
      <c r="B216" s="6"/>
      <c r="C216" s="7"/>
    </row>
    <row r="217" spans="1:3" ht="15.75" customHeight="1" x14ac:dyDescent="0.2">
      <c r="A217" s="1"/>
      <c r="B217" s="6"/>
      <c r="C217" s="7"/>
    </row>
    <row r="218" spans="1:3" ht="15.75" customHeight="1" x14ac:dyDescent="0.2">
      <c r="A218" s="1"/>
      <c r="B218" s="6"/>
      <c r="C218" s="7"/>
    </row>
    <row r="219" spans="1:3" ht="15.75" customHeight="1" x14ac:dyDescent="0.2">
      <c r="A219" s="1"/>
      <c r="B219" s="6"/>
      <c r="C219" s="7"/>
    </row>
    <row r="220" spans="1:3" ht="15.75" customHeight="1" x14ac:dyDescent="0.2">
      <c r="A220" s="1"/>
      <c r="B220" s="6"/>
      <c r="C220" s="7"/>
    </row>
    <row r="221" spans="1:3" ht="15.75" customHeight="1" x14ac:dyDescent="0.2">
      <c r="A221" s="1"/>
      <c r="B221" s="6"/>
      <c r="C221" s="7"/>
    </row>
    <row r="222" spans="1:3" ht="15.75" customHeight="1" x14ac:dyDescent="0.2">
      <c r="A222" s="1"/>
      <c r="B222" s="6"/>
      <c r="C222" s="7"/>
    </row>
    <row r="223" spans="1:3" ht="15.75" customHeight="1" x14ac:dyDescent="0.2">
      <c r="A223" s="1"/>
      <c r="B223" s="6"/>
      <c r="C223" s="7"/>
    </row>
    <row r="224" spans="1:3" ht="15.75" customHeight="1" x14ac:dyDescent="0.2">
      <c r="A224" s="1"/>
      <c r="B224" s="6"/>
      <c r="C224" s="7"/>
    </row>
    <row r="225" spans="1:3" ht="15.75" customHeight="1" x14ac:dyDescent="0.2">
      <c r="A225" s="1"/>
      <c r="B225" s="6"/>
      <c r="C225" s="7"/>
    </row>
    <row r="226" spans="1:3" ht="15.75" customHeight="1" x14ac:dyDescent="0.2">
      <c r="A226" s="1"/>
      <c r="B226" s="6"/>
      <c r="C226" s="7"/>
    </row>
    <row r="227" spans="1:3" ht="15.75" customHeight="1" x14ac:dyDescent="0.2">
      <c r="A227" s="1"/>
      <c r="B227" s="6"/>
      <c r="C227" s="7"/>
    </row>
    <row r="228" spans="1:3" ht="15.75" customHeight="1" x14ac:dyDescent="0.2">
      <c r="A228" s="1"/>
      <c r="B228" s="6"/>
      <c r="C228" s="7"/>
    </row>
    <row r="229" spans="1:3" ht="15.75" customHeight="1" x14ac:dyDescent="0.2">
      <c r="A229" s="1"/>
      <c r="B229" s="6"/>
      <c r="C229" s="7"/>
    </row>
    <row r="230" spans="1:3" ht="15.75" customHeight="1" x14ac:dyDescent="0.2">
      <c r="A230" s="1"/>
      <c r="B230" s="6"/>
      <c r="C230" s="7"/>
    </row>
    <row r="231" spans="1:3" ht="15.75" customHeight="1" x14ac:dyDescent="0.2">
      <c r="A231" s="1"/>
      <c r="B231" s="6"/>
      <c r="C231" s="7"/>
    </row>
    <row r="232" spans="1:3" ht="15.75" customHeight="1" x14ac:dyDescent="0.2">
      <c r="A232" s="1"/>
      <c r="B232" s="6"/>
      <c r="C232" s="7"/>
    </row>
    <row r="233" spans="1:3" ht="15.75" customHeight="1" x14ac:dyDescent="0.2">
      <c r="A233" s="1"/>
      <c r="B233" s="6"/>
      <c r="C233" s="7"/>
    </row>
    <row r="234" spans="1:3" ht="15.75" customHeight="1" x14ac:dyDescent="0.2">
      <c r="A234" s="1"/>
      <c r="B234" s="6"/>
      <c r="C234" s="7"/>
    </row>
    <row r="235" spans="1:3" ht="15.75" customHeight="1" x14ac:dyDescent="0.2">
      <c r="A235" s="1"/>
      <c r="B235" s="6"/>
      <c r="C235" s="7"/>
    </row>
    <row r="236" spans="1:3" ht="15.75" customHeight="1" x14ac:dyDescent="0.2">
      <c r="A236" s="1"/>
      <c r="B236" s="6"/>
      <c r="C236" s="7"/>
    </row>
    <row r="237" spans="1:3" ht="15.75" customHeight="1" x14ac:dyDescent="0.2">
      <c r="A237" s="1"/>
      <c r="B237" s="6"/>
      <c r="C237" s="7"/>
    </row>
    <row r="238" spans="1:3" ht="15.75" customHeight="1" x14ac:dyDescent="0.2">
      <c r="A238" s="1"/>
      <c r="B238" s="6"/>
      <c r="C238" s="7"/>
    </row>
    <row r="239" spans="1:3" ht="15.75" customHeight="1" x14ac:dyDescent="0.2">
      <c r="A239" s="1"/>
      <c r="B239" s="6"/>
      <c r="C239" s="7"/>
    </row>
    <row r="240" spans="1:3" ht="15.75" customHeight="1" x14ac:dyDescent="0.2">
      <c r="A240" s="1"/>
      <c r="B240" s="6"/>
      <c r="C240" s="7"/>
    </row>
    <row r="241" spans="1:3" ht="15.75" customHeight="1" x14ac:dyDescent="0.2">
      <c r="A241" s="1"/>
      <c r="B241" s="6"/>
      <c r="C241" s="7"/>
    </row>
    <row r="242" spans="1:3" ht="15.75" customHeight="1" x14ac:dyDescent="0.2">
      <c r="A242" s="1"/>
      <c r="B242" s="6"/>
      <c r="C242" s="7"/>
    </row>
    <row r="243" spans="1:3" ht="15.75" customHeight="1" x14ac:dyDescent="0.2">
      <c r="A243" s="1"/>
      <c r="B243" s="6"/>
      <c r="C243" s="7"/>
    </row>
    <row r="244" spans="1:3" ht="15.75" customHeight="1" x14ac:dyDescent="0.2">
      <c r="A244" s="1"/>
      <c r="B244" s="6"/>
      <c r="C244" s="7"/>
    </row>
    <row r="245" spans="1:3" ht="15.75" customHeight="1" x14ac:dyDescent="0.2">
      <c r="A245" s="1"/>
      <c r="B245" s="6"/>
      <c r="C245" s="7"/>
    </row>
    <row r="246" spans="1:3" ht="15.75" customHeight="1" x14ac:dyDescent="0.2">
      <c r="A246" s="1"/>
      <c r="B246" s="6"/>
      <c r="C246" s="7"/>
    </row>
    <row r="247" spans="1:3" ht="15.75" customHeight="1" x14ac:dyDescent="0.2">
      <c r="A247" s="1"/>
      <c r="B247" s="6"/>
      <c r="C247" s="7"/>
    </row>
    <row r="248" spans="1:3" ht="15.75" customHeight="1" x14ac:dyDescent="0.2">
      <c r="A248" s="1"/>
      <c r="B248" s="6"/>
      <c r="C248" s="7"/>
    </row>
    <row r="249" spans="1:3" ht="15.75" customHeight="1" x14ac:dyDescent="0.2">
      <c r="A249" s="1"/>
      <c r="B249" s="6"/>
      <c r="C249" s="7"/>
    </row>
    <row r="250" spans="1:3" ht="15.75" customHeight="1" x14ac:dyDescent="0.2">
      <c r="A250" s="1"/>
      <c r="B250" s="6"/>
      <c r="C250" s="7"/>
    </row>
    <row r="251" spans="1:3" ht="15.75" customHeight="1" x14ac:dyDescent="0.2">
      <c r="A251" s="1"/>
      <c r="B251" s="6"/>
      <c r="C251" s="7"/>
    </row>
    <row r="252" spans="1:3" ht="15.75" customHeight="1" x14ac:dyDescent="0.2"/>
    <row r="253" spans="1:3" ht="15.75" customHeight="1" x14ac:dyDescent="0.2"/>
    <row r="254" spans="1:3" ht="15.75" customHeight="1" x14ac:dyDescent="0.2"/>
    <row r="255" spans="1:3" ht="15.75" customHeight="1" x14ac:dyDescent="0.2"/>
    <row r="256" spans="1:3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D2:D251">
    <cfRule type="containsText" dxfId="1" priority="3" operator="containsText" text="Present">
      <formula>NOT(ISERROR(SEARCH("Present",D2)))</formula>
    </cfRule>
    <cfRule type="containsText" dxfId="0" priority="4" operator="containsText" text="Absent">
      <formula>NOT(ISERROR(SEARCH("Absent",D2)))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Attendance Tracker</vt:lpstr>
      <vt:lpstr>Contact</vt:lpstr>
      <vt:lpstr>Department</vt:lpstr>
      <vt:lpstr>Attendance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Damian Morais-Camara</dc:creator>
  <cp:lastModifiedBy>Damian Morais-Camara</cp:lastModifiedBy>
  <dcterms:created xsi:type="dcterms:W3CDTF">2025-07-08T19:29:24Z</dcterms:created>
  <dcterms:modified xsi:type="dcterms:W3CDTF">2025-07-13T19:15:57Z</dcterms:modified>
</cp:coreProperties>
</file>